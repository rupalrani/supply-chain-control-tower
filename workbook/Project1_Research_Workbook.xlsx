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earch_Log" sheetId="2" state="visible" r:id="rId4"/>
    <sheet name="02_Screening_Log" sheetId="3" state="visible" r:id="rId5"/>
    <sheet name="03_Extraction" sheetId="4" state="visible" r:id="rId6"/>
    <sheet name="04_Cleaning_Log" sheetId="5" state="visible" r:id="rId7"/>
    <sheet name="05_Analysis" sheetId="6" state="visible" r:id="rId8"/>
    <sheet name="06_PRISMA" sheetId="7" state="visible" r:id="rId9"/>
    <sheet name="07_Bibliometric" sheetId="8" state="visible" r:id="rId10"/>
    <sheet name="08_N_gram" sheetId="9" state="visible" r:id="rId11"/>
    <sheet name="09_Formula_Sheet" sheetId="10" state="visible" r:id="rId12"/>
    <sheet name="10_References" sheetId="11" state="visible" r:id="rId13"/>
    <sheet name="11_Final_Summary"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<sst xmlns="http://schemas.openxmlformats.org/spreadsheetml/2006/main" count="1144" uniqueCount="606">
  <si>
    <t xml:space="preserve">Research Workbook — Supply Chain Control Tower Dashboard (Project 1)</t>
  </si>
  <si>
    <t xml:space="preserve">Purpose</t>
  </si>
  <si>
    <t xml:space="preserve">A single, auditable workbook that records the literature search, screening, extraction, data cleaning, analysis, and the formula library for Project 1. The structure repeats for the other four projects.</t>
  </si>
  <si>
    <t xml:space="preserve">How sheets connect</t>
  </si>
  <si>
    <t xml:space="preserve">Search log feeds the screening log. The screening log feeds the extraction table. The extraction table feeds the PRISMA, bibliometric, and N gram sheets. The analysis sheet holds the live KPI engine. The final summary links the key numbers.</t>
  </si>
  <si>
    <t xml:space="preserve">Colour legend</t>
  </si>
  <si>
    <t xml:space="preserve">Blue text marks a hardcoded input that a user may change. Black text marks a formula. Green text marks a link that pulls from another sheet.</t>
  </si>
  <si>
    <t xml:space="preserve">Live formulas</t>
  </si>
  <si>
    <t xml:space="preserve">Cells with formulas recalculate when the source data changes. The analysis sheet runs on an illustrative sample. Replace the sample with the cleaned DataCo extract and every KPI updates.</t>
  </si>
  <si>
    <t xml:space="preserve">Excel 365 functions</t>
  </si>
  <si>
    <t xml:space="preserve">XLOOKUP, UNIQUE, FILTER, and LET are shown on the formula sheet as exact syntax for Excel 365. Live demonstration cells use INDEX MATCH and COUNTIFS so the workbook returns values in every spreadsheet engine.</t>
  </si>
  <si>
    <t xml:space="preserve">Verification</t>
  </si>
  <si>
    <t xml:space="preserve">Each reference was checked against a primary source during research. The references sheet records the verification status and the link.</t>
  </si>
  <si>
    <t xml:space="preserve">Author</t>
  </si>
  <si>
    <t xml:space="preserve">Rupal Rani. Tata Institute of Social Sciences, Mumbai.</t>
  </si>
  <si>
    <t xml:space="preserve">Search Log</t>
  </si>
  <si>
    <t xml:space="preserve">Record of literature searches. For a formal review these queries map to Scopus, Web of Science, and Crossref. Queries below were run during live research for this project.</t>
  </si>
  <si>
    <t xml:space="preserve">No</t>
  </si>
  <si>
    <t xml:space="preserve">Date</t>
  </si>
  <si>
    <t xml:space="preserve">Source / engine</t>
  </si>
  <si>
    <t xml:space="preserve">Search query</t>
  </si>
  <si>
    <t xml:space="preserve">Filters</t>
  </si>
  <si>
    <t xml:space="preserve">Hits (approx)</t>
  </si>
  <si>
    <t xml:space="preserve">Used</t>
  </si>
  <si>
    <t xml:space="preserve">Notes</t>
  </si>
  <si>
    <t xml:space="preserve">2026-05-30</t>
  </si>
  <si>
    <t xml:space="preserve">Scholar / publisher</t>
  </si>
  <si>
    <t xml:space="preserve">supply chain control tower concept end-to-end visibility</t>
  </si>
  <si>
    <t xml:space="preserve">none</t>
  </si>
  <si>
    <t xml:space="preserve">Y</t>
  </si>
  <si>
    <t xml:space="preserve">Concept and definition</t>
  </si>
  <si>
    <t xml:space="preserve">big data analytics supply chain management review</t>
  </si>
  <si>
    <t xml:space="preserve">peer reviewed</t>
  </si>
  <si>
    <t xml:space="preserve">Waller and Fawcett; Nguyen et al.</t>
  </si>
  <si>
    <t xml:space="preserve">supply chain resilience COVID-19 ripple effect Ivanov</t>
  </si>
  <si>
    <t xml:space="preserve">2019-2021</t>
  </si>
  <si>
    <t xml:space="preserve">Ivanov 2020 simulation</t>
  </si>
  <si>
    <t xml:space="preserve">supply chain performance SCOR KPI Gunasekaran</t>
  </si>
  <si>
    <t xml:space="preserve">Performance metrics frameworks</t>
  </si>
  <si>
    <t xml:space="preserve">Kaggle / Mendeley</t>
  </si>
  <si>
    <t xml:space="preserve">DataCo smart supply chain dataset; Olist e-commerce</t>
  </si>
  <si>
    <t xml:space="preserve">datasets</t>
  </si>
  <si>
    <t xml:space="preserve">Primary and alternative data</t>
  </si>
  <si>
    <t xml:space="preserve">big data analytics supply chain state-of-the-art review 2018</t>
  </si>
  <si>
    <t xml:space="preserve">Computers &amp; OR</t>
  </si>
  <si>
    <t xml:space="preserve">Nguyen et al. 2018 confirmed</t>
  </si>
  <si>
    <t xml:space="preserve">Ivanov epidemic outbreaks global supply chains TRE 2020</t>
  </si>
  <si>
    <t xml:space="preserve">TRE</t>
  </si>
  <si>
    <t xml:space="preserve">Article 101922 confirmed</t>
  </si>
  <si>
    <t xml:space="preserve">World Bank / PIB</t>
  </si>
  <si>
    <t xml:space="preserve">World Bank LPI 2023 India rank Connecting to Compete</t>
  </si>
  <si>
    <t xml:space="preserve">official</t>
  </si>
  <si>
    <t xml:space="preserve">India rank 38 of 139</t>
  </si>
  <si>
    <t xml:space="preserve">DPIIT / Invest India</t>
  </si>
  <si>
    <t xml:space="preserve">National Logistics Policy 2022 logistics cost GDP Gati Shakti</t>
  </si>
  <si>
    <t xml:space="preserve">Cost target 7.5 to 8 percent</t>
  </si>
  <si>
    <t xml:space="preserve">Publisher</t>
  </si>
  <si>
    <t xml:space="preserve">Stephen Few information dashboard design principles</t>
  </si>
  <si>
    <t xml:space="preserve">books</t>
  </si>
  <si>
    <t xml:space="preserve">Dashboard design reference</t>
  </si>
  <si>
    <t xml:space="preserve">digital supply chain twin IoT Ivanov Dolgui 2021</t>
  </si>
  <si>
    <t xml:space="preserve">Digital twin PPC 2021</t>
  </si>
  <si>
    <t xml:space="preserve">supply chain visibility agility Brusset Barratt Oke</t>
  </si>
  <si>
    <t xml:space="preserve">Visibility and agility</t>
  </si>
  <si>
    <t xml:space="preserve">Buyukozkan Gocer digital supply chain literature review</t>
  </si>
  <si>
    <t xml:space="preserve">Computers in Industry</t>
  </si>
  <si>
    <t xml:space="preserve">DSC framework 2018</t>
  </si>
  <si>
    <t xml:space="preserve">machine learning demand forecasting supply chain review</t>
  </si>
  <si>
    <t xml:space="preserve">Feizabadi 2022</t>
  </si>
  <si>
    <t xml:space="preserve">DPIIT / PIB</t>
  </si>
  <si>
    <t xml:space="preserve">LEADS report Logistics Ease Across Different States 2023</t>
  </si>
  <si>
    <t xml:space="preserve">State level benchmark</t>
  </si>
  <si>
    <t xml:space="preserve">APICS / industry</t>
  </si>
  <si>
    <t xml:space="preserve">perfect order OTIF on time in full definition</t>
  </si>
  <si>
    <t xml:space="preserve">standards</t>
  </si>
  <si>
    <t xml:space="preserve">KPI definitions</t>
  </si>
  <si>
    <t xml:space="preserve">urban freight last mile delivery systematic review</t>
  </si>
  <si>
    <t xml:space="preserve">Local level evidence</t>
  </si>
  <si>
    <t xml:space="preserve">Scholar</t>
  </si>
  <si>
    <t xml:space="preserve">Trzuskawska-Grzesinska control towers past and future</t>
  </si>
  <si>
    <t xml:space="preserve">Dedicated control tower paper</t>
  </si>
  <si>
    <t xml:space="preserve">Mendeley</t>
  </si>
  <si>
    <t xml:space="preserve">DataCo dataset origin Constante Silva Pereira 2019</t>
  </si>
  <si>
    <t xml:space="preserve">dataset</t>
  </si>
  <si>
    <t xml:space="preserve">DOI 10.17632/8gx2fvg2k6.5</t>
  </si>
  <si>
    <t xml:space="preserve">Web</t>
  </si>
  <si>
    <t xml:space="preserve">general logistics blogs and secondary posts</t>
  </si>
  <si>
    <t xml:space="preserve">N</t>
  </si>
  <si>
    <t xml:space="preserve">Excluded as non primary</t>
  </si>
  <si>
    <t xml:space="preserve">Total searches</t>
  </si>
  <si>
    <t xml:space="preserve">Searches used</t>
  </si>
  <si>
    <t xml:space="preserve">Screening Log</t>
  </si>
  <si>
    <t xml:space="preserve">Title and abstract screening with the include or exclude decision and the reason. Included records carry forward to the extraction table.</t>
  </si>
  <si>
    <t xml:space="preserve">RecID</t>
  </si>
  <si>
    <t xml:space="preserve">Short citation</t>
  </si>
  <si>
    <t xml:space="preserve">Year</t>
  </si>
  <si>
    <t xml:space="preserve">Source type</t>
  </si>
  <si>
    <t xml:space="preserve">Title relevant</t>
  </si>
  <si>
    <t xml:space="preserve">Abstract relevant</t>
  </si>
  <si>
    <t xml:space="preserve">Decision</t>
  </si>
  <si>
    <t xml:space="preserve">Exclusion reason</t>
  </si>
  <si>
    <t xml:space="preserve">Lee, Padmanabhan &amp; Whang</t>
  </si>
  <si>
    <t xml:space="preserve">1997</t>
  </si>
  <si>
    <t xml:space="preserve">Journal</t>
  </si>
  <si>
    <t xml:space="preserve">Include</t>
  </si>
  <si>
    <t xml:space="preserve">Gunasekaran, Patel &amp; Tirtiroglu</t>
  </si>
  <si>
    <t xml:space="preserve">2001</t>
  </si>
  <si>
    <t xml:space="preserve">Barratt &amp; Oke</t>
  </si>
  <si>
    <t xml:space="preserve">2007</t>
  </si>
  <si>
    <t xml:space="preserve">Waller &amp; Fawcett</t>
  </si>
  <si>
    <t xml:space="preserve">2013</t>
  </si>
  <si>
    <t xml:space="preserve">Few</t>
  </si>
  <si>
    <t xml:space="preserve">Book</t>
  </si>
  <si>
    <t xml:space="preserve">Brusset</t>
  </si>
  <si>
    <t xml:space="preserve">2016</t>
  </si>
  <si>
    <t xml:space="preserve">Wang, Gunasekaran, Ngai &amp; Papadopoulos</t>
  </si>
  <si>
    <t xml:space="preserve">APICS SCOR v12.0</t>
  </si>
  <si>
    <t xml:space="preserve">2017</t>
  </si>
  <si>
    <t xml:space="preserve">Standard</t>
  </si>
  <si>
    <t xml:space="preserve">Trzuskawska-Grzesinska</t>
  </si>
  <si>
    <t xml:space="preserve">Buyukozkan &amp; Gocer</t>
  </si>
  <si>
    <t xml:space="preserve">2018</t>
  </si>
  <si>
    <t xml:space="preserve">Nguyen, Zhou, Spiegler, Ieromonachou &amp; Lin</t>
  </si>
  <si>
    <t xml:space="preserve">Olist e-commerce dataset</t>
  </si>
  <si>
    <t xml:space="preserve">Dataset</t>
  </si>
  <si>
    <t xml:space="preserve">Constante, Silva &amp; Pereira (DataCo)</t>
  </si>
  <si>
    <t xml:space="preserve">2019</t>
  </si>
  <si>
    <t xml:space="preserve">Ivanov</t>
  </si>
  <si>
    <t xml:space="preserve">2020</t>
  </si>
  <si>
    <t xml:space="preserve">DPIIT PM Gati Shakti</t>
  </si>
  <si>
    <t xml:space="preserve">2021</t>
  </si>
  <si>
    <t xml:space="preserve">Report</t>
  </si>
  <si>
    <t xml:space="preserve">Ivanov &amp; Dolgui</t>
  </si>
  <si>
    <t xml:space="preserve">DPIIT National Logistics Policy</t>
  </si>
  <si>
    <t xml:space="preserve">2022</t>
  </si>
  <si>
    <t xml:space="preserve">Feizabadi</t>
  </si>
  <si>
    <t xml:space="preserve">DPIIT LEADS 2023</t>
  </si>
  <si>
    <t xml:space="preserve">2023</t>
  </si>
  <si>
    <t xml:space="preserve">Lyons &amp; McDonald</t>
  </si>
  <si>
    <t xml:space="preserve">Press Information Bureau (LPI India)</t>
  </si>
  <si>
    <t xml:space="preserve">World Bank LPI</t>
  </si>
  <si>
    <t xml:space="preserve">Generic SCM vendor blog post</t>
  </si>
  <si>
    <t xml:space="preserve">2024</t>
  </si>
  <si>
    <t xml:space="preserve">Exclude</t>
  </si>
  <si>
    <t xml:space="preserve">Non primary source</t>
  </si>
  <si>
    <t xml:space="preserve">Duplicate of Nguyen et al. (repository copy)</t>
  </si>
  <si>
    <t xml:space="preserve">Repository</t>
  </si>
  <si>
    <t xml:space="preserve">Duplicate record</t>
  </si>
  <si>
    <t xml:space="preserve">Student class project on Medium</t>
  </si>
  <si>
    <t xml:space="preserve">Not peer reviewed</t>
  </si>
  <si>
    <t xml:space="preserve">Predatory journal SCM article</t>
  </si>
  <si>
    <t xml:space="preserve">Source quality concern</t>
  </si>
  <si>
    <t xml:space="preserve">Pure marketing white paper</t>
  </si>
  <si>
    <t xml:space="preserve">Promotional, no method</t>
  </si>
  <si>
    <t xml:space="preserve">Off topic finance ripple study</t>
  </si>
  <si>
    <t xml:space="preserve">Out of scope</t>
  </si>
  <si>
    <t xml:space="preserve">Included</t>
  </si>
  <si>
    <t xml:space="preserve">Excluded</t>
  </si>
  <si>
    <t xml:space="preserve">Extraction Table (included studies)</t>
  </si>
  <si>
    <t xml:space="preserve">One row per included source. Year, Level, and Type drive the bibliometric counts. Verified records the primary source check.</t>
  </si>
  <si>
    <t xml:space="preserve">Key</t>
  </si>
  <si>
    <t xml:space="preserve">Authors / issuer</t>
  </si>
  <si>
    <t xml:space="preserve">Level</t>
  </si>
  <si>
    <t xml:space="preserve">Type</t>
  </si>
  <si>
    <t xml:space="preserve">Method / focus</t>
  </si>
  <si>
    <t xml:space="preserve">Key finding (short)</t>
  </si>
  <si>
    <t xml:space="preserve">KPI relevance</t>
  </si>
  <si>
    <t xml:space="preserve">Verified</t>
  </si>
  <si>
    <t xml:space="preserve">Link / DOI</t>
  </si>
  <si>
    <t xml:space="preserve">Lee 1997</t>
  </si>
  <si>
    <t xml:space="preserve">Global</t>
  </si>
  <si>
    <t xml:space="preserve">Analytical model</t>
  </si>
  <si>
    <t xml:space="preserve">Information distortion creates the bullwhip effect</t>
  </si>
  <si>
    <t xml:space="preserve">Demand and order variance</t>
  </si>
  <si>
    <t xml:space="preserve">10.1287/mnsc.43.4.546</t>
  </si>
  <si>
    <t xml:space="preserve">Gunasekaran 2001</t>
  </si>
  <si>
    <t xml:space="preserve">Framework</t>
  </si>
  <si>
    <t xml:space="preserve">KPI framework across plan, source, make, deliver</t>
  </si>
  <si>
    <t xml:space="preserve">KPI design</t>
  </si>
  <si>
    <t xml:space="preserve">IJOPM 21(1/2)</t>
  </si>
  <si>
    <t xml:space="preserve">Barratt 2007</t>
  </si>
  <si>
    <t xml:space="preserve">Empirical, RBV</t>
  </si>
  <si>
    <t xml:space="preserve">Antecedents of supply chain visibility</t>
  </si>
  <si>
    <t xml:space="preserve">Visibility</t>
  </si>
  <si>
    <t xml:space="preserve">JOM 25(6)</t>
  </si>
  <si>
    <t xml:space="preserve">Waller 2013</t>
  </si>
  <si>
    <t xml:space="preserve">Editorial review</t>
  </si>
  <si>
    <t xml:space="preserve">Data science transforms supply chain design</t>
  </si>
  <si>
    <t xml:space="preserve">Analytics value</t>
  </si>
  <si>
    <t xml:space="preserve">10.1111/jbl.12010</t>
  </si>
  <si>
    <t xml:space="preserve">Few 2013</t>
  </si>
  <si>
    <t xml:space="preserve">Design principles</t>
  </si>
  <si>
    <t xml:space="preserve">At a glance dashboard design</t>
  </si>
  <si>
    <t xml:space="preserve">Dashboard design</t>
  </si>
  <si>
    <t xml:space="preserve">Analytics Press</t>
  </si>
  <si>
    <t xml:space="preserve">Brusset 2016</t>
  </si>
  <si>
    <t xml:space="preserve">Empirical</t>
  </si>
  <si>
    <t xml:space="preserve">Visibility enhances agility</t>
  </si>
  <si>
    <t xml:space="preserve">Visibility, agility</t>
  </si>
  <si>
    <t xml:space="preserve">IJPE 171</t>
  </si>
  <si>
    <t xml:space="preserve">Wang 2016</t>
  </si>
  <si>
    <t xml:space="preserve">Review</t>
  </si>
  <si>
    <t xml:space="preserve">Big data analytics in logistics and SCM</t>
  </si>
  <si>
    <t xml:space="preserve">Analytics adoption</t>
  </si>
  <si>
    <t xml:space="preserve">IJPE 176</t>
  </si>
  <si>
    <t xml:space="preserve">APICS 2017</t>
  </si>
  <si>
    <t xml:space="preserve">APICS (SCOR v12.0)</t>
  </si>
  <si>
    <t xml:space="preserve">Reference model</t>
  </si>
  <si>
    <t xml:space="preserve">Standard supply chain metrics</t>
  </si>
  <si>
    <t xml:space="preserve">Perfect order, reliability</t>
  </si>
  <si>
    <t xml:space="preserve">SCOR 12.0</t>
  </si>
  <si>
    <t xml:space="preserve">Trzuskawska 2017</t>
  </si>
  <si>
    <t xml:space="preserve">Conceptual</t>
  </si>
  <si>
    <t xml:space="preserve">Control tower past and future</t>
  </si>
  <si>
    <t xml:space="preserve">Control tower model</t>
  </si>
  <si>
    <t xml:space="preserve">JEM 27(1)</t>
  </si>
  <si>
    <t xml:space="preserve">Buyukozkan 2018</t>
  </si>
  <si>
    <t xml:space="preserve">Digital supply chain framework</t>
  </si>
  <si>
    <t xml:space="preserve">Digital maturity</t>
  </si>
  <si>
    <t xml:space="preserve">10.1016/j.compind.2018.02.010</t>
  </si>
  <si>
    <t xml:space="preserve">Nguyen 2018</t>
  </si>
  <si>
    <t xml:space="preserve">State of the art of big data analytics in SCM</t>
  </si>
  <si>
    <t xml:space="preserve">Analytics classification</t>
  </si>
  <si>
    <t xml:space="preserve">10.1016/j.cor.2017.07.004</t>
  </si>
  <si>
    <t xml:space="preserve">Olist 2018</t>
  </si>
  <si>
    <t xml:space="preserve">Olist</t>
  </si>
  <si>
    <t xml:space="preserve">Open data</t>
  </si>
  <si>
    <t xml:space="preserve">Brazilian e-commerce order timestamps</t>
  </si>
  <si>
    <t xml:space="preserve">Delivery timeliness</t>
  </si>
  <si>
    <t xml:space="preserve">kaggle olistbr</t>
  </si>
  <si>
    <t xml:space="preserve">Constante 2019</t>
  </si>
  <si>
    <t xml:space="preserve">Constante, Silva &amp; Pereira</t>
  </si>
  <si>
    <t xml:space="preserve">DataCo order and shipment records</t>
  </si>
  <si>
    <t xml:space="preserve">Primary KPIs</t>
  </si>
  <si>
    <t xml:space="preserve">10.17632/8gx2fvg2k6.5</t>
  </si>
  <si>
    <t xml:space="preserve">Ivanov 2020</t>
  </si>
  <si>
    <t xml:space="preserve">Simulation</t>
  </si>
  <si>
    <t xml:space="preserve">Epidemic outbreaks hit global chains</t>
  </si>
  <si>
    <t xml:space="preserve">Disruption, resilience</t>
  </si>
  <si>
    <t xml:space="preserve">10.1016/j.tre.2020.101922</t>
  </si>
  <si>
    <t xml:space="preserve">DPIIT GatiShakti 2021</t>
  </si>
  <si>
    <t xml:space="preserve">DPIIT</t>
  </si>
  <si>
    <t xml:space="preserve">National</t>
  </si>
  <si>
    <t xml:space="preserve">Policy</t>
  </si>
  <si>
    <t xml:space="preserve">Integrated infrastructure planning</t>
  </si>
  <si>
    <t xml:space="preserve">Network visibility</t>
  </si>
  <si>
    <t xml:space="preserve">dpiit.gov.in</t>
  </si>
  <si>
    <t xml:space="preserve">Ivanov Dolgui 2021</t>
  </si>
  <si>
    <t xml:space="preserve">Digital supply chain twin for resilience</t>
  </si>
  <si>
    <t xml:space="preserve">Real time twin</t>
  </si>
  <si>
    <t xml:space="preserve">10.1080/09537287.2020.1768450</t>
  </si>
  <si>
    <t xml:space="preserve">DPIIT NLP 2022</t>
  </si>
  <si>
    <t xml:space="preserve">Cut logistics cost toward 7.5 to 8 percent of GDP</t>
  </si>
  <si>
    <t xml:space="preserve">Cost framing</t>
  </si>
  <si>
    <t xml:space="preserve">ML demand forecasting lifts performance</t>
  </si>
  <si>
    <t xml:space="preserve">Forecast accuracy</t>
  </si>
  <si>
    <t xml:space="preserve">10.1080/13675567.2020.1803246</t>
  </si>
  <si>
    <t xml:space="preserve">State</t>
  </si>
  <si>
    <t xml:space="preserve">Survey index</t>
  </si>
  <si>
    <t xml:space="preserve">State logistics ease ranking</t>
  </si>
  <si>
    <t xml:space="preserve">State benchmark</t>
  </si>
  <si>
    <t xml:space="preserve">Lyons 2023</t>
  </si>
  <si>
    <t xml:space="preserve">Local</t>
  </si>
  <si>
    <t xml:space="preserve">Systematic review</t>
  </si>
  <si>
    <t xml:space="preserve">Last mile strategies for urban freight</t>
  </si>
  <si>
    <t xml:space="preserve">Last mile</t>
  </si>
  <si>
    <t xml:space="preserve">TRR 2677(1)</t>
  </si>
  <si>
    <t xml:space="preserve">PIB 2023</t>
  </si>
  <si>
    <t xml:space="preserve">Press Information Bureau</t>
  </si>
  <si>
    <t xml:space="preserve">Government release</t>
  </si>
  <si>
    <t xml:space="preserve">India ranks 38 of 139 on LPI 2023</t>
  </si>
  <si>
    <t xml:space="preserve">National benchmark</t>
  </si>
  <si>
    <t xml:space="preserve">pib.gov.in</t>
  </si>
  <si>
    <t xml:space="preserve">World Bank 2023</t>
  </si>
  <si>
    <t xml:space="preserve">World Bank</t>
  </si>
  <si>
    <t xml:space="preserve">Index report</t>
  </si>
  <si>
    <t xml:space="preserve">Connecting to Compete LPI 2023</t>
  </si>
  <si>
    <t xml:space="preserve">Global benchmark</t>
  </si>
  <si>
    <t xml:space="preserve">lpi.worldbank.org</t>
  </si>
  <si>
    <t xml:space="preserve">Included count</t>
  </si>
  <si>
    <t xml:space="preserve">Cleaning Log — DataCo extract (template)</t>
  </si>
  <si>
    <t xml:space="preserve">Records each cleaning decision for reproducibility. Row counts are illustrative placeholders to be filled on the live extract.</t>
  </si>
  <si>
    <t xml:space="preserve">Step</t>
  </si>
  <si>
    <t xml:space="preserve">Field</t>
  </si>
  <si>
    <t xml:space="preserve">Issue</t>
  </si>
  <si>
    <t xml:space="preserve">Action</t>
  </si>
  <si>
    <t xml:space="preserve">Rows affected</t>
  </si>
  <si>
    <t xml:space="preserve">Before example</t>
  </si>
  <si>
    <t xml:space="preserve">After example</t>
  </si>
  <si>
    <t xml:space="preserve">Status</t>
  </si>
  <si>
    <t xml:space="preserve">Encoding</t>
  </si>
  <si>
    <t xml:space="preserve">File uses a Latin character set</t>
  </si>
  <si>
    <t xml:space="preserve">Load with latin-1 encoding</t>
  </si>
  <si>
    <t xml:space="preserve">All</t>
  </si>
  <si>
    <t xml:space="preserve">Mojibake text</t>
  </si>
  <si>
    <t xml:space="preserve">Clean text</t>
  </si>
  <si>
    <t xml:space="preserve">Done</t>
  </si>
  <si>
    <t xml:space="preserve">order date</t>
  </si>
  <si>
    <t xml:space="preserve">Stored as text</t>
  </si>
  <si>
    <t xml:space="preserve">Parse to date type</t>
  </si>
  <si>
    <t xml:space="preserve">01-02-2017 text</t>
  </si>
  <si>
    <t xml:space="preserve">2017-02-01 date</t>
  </si>
  <si>
    <t xml:space="preserve">Delivery delay</t>
  </si>
  <si>
    <t xml:space="preserve">Not present</t>
  </si>
  <si>
    <t xml:space="preserve">Derive real minus scheduled days</t>
  </si>
  <si>
    <t xml:space="preserve">n/a</t>
  </si>
  <si>
    <t xml:space="preserve">delay column</t>
  </si>
  <si>
    <t xml:space="preserve">Impossible negative beyond early limit</t>
  </si>
  <si>
    <t xml:space="preserve">Flag and review</t>
  </si>
  <si>
    <t xml:space="preserve">12</t>
  </si>
  <si>
    <t xml:space="preserve">-40</t>
  </si>
  <si>
    <t xml:space="preserve">flagged</t>
  </si>
  <si>
    <t xml:space="preserve">Canceled mixed with delivered</t>
  </si>
  <si>
    <t xml:space="preserve">Separate canceled orders</t>
  </si>
  <si>
    <t xml:space="preserve">Canceled set</t>
  </si>
  <si>
    <t xml:space="preserve">mixed</t>
  </si>
  <si>
    <t xml:space="preserve">split</t>
  </si>
  <si>
    <t xml:space="preserve">Order Item Id</t>
  </si>
  <si>
    <t xml:space="preserve">Duplicate lines</t>
  </si>
  <si>
    <t xml:space="preserve">Drop duplicates on key</t>
  </si>
  <si>
    <t xml:space="preserve">31</t>
  </si>
  <si>
    <t xml:space="preserve">2 copies</t>
  </si>
  <si>
    <t xml:space="preserve">1 row</t>
  </si>
  <si>
    <t xml:space="preserve">Region / Category</t>
  </si>
  <si>
    <t xml:space="preserve">Case and spelling differ</t>
  </si>
  <si>
    <t xml:space="preserve">Standardise text</t>
  </si>
  <si>
    <t xml:space="preserve">latam</t>
  </si>
  <si>
    <t xml:space="preserve">LATAM</t>
  </si>
  <si>
    <t xml:space="preserve">Order City / Zip</t>
  </si>
  <si>
    <t xml:space="preserve">Missing values</t>
  </si>
  <si>
    <t xml:space="preserve">Apply rule and log</t>
  </si>
  <si>
    <t xml:space="preserve">240</t>
  </si>
  <si>
    <t xml:space="preserve">blank</t>
  </si>
  <si>
    <t xml:space="preserve">Unknown tag</t>
  </si>
  <si>
    <t xml:space="preserve">Sales / Profit</t>
  </si>
  <si>
    <t xml:space="preserve">Outliers</t>
  </si>
  <si>
    <t xml:space="preserve">Check real or error</t>
  </si>
  <si>
    <t xml:space="preserve">18</t>
  </si>
  <si>
    <t xml:space="preserve">99999</t>
  </si>
  <si>
    <t xml:space="preserve">verified</t>
  </si>
  <si>
    <t xml:space="preserve">OTIF flag</t>
  </si>
  <si>
    <t xml:space="preserve">Derive on time and in full</t>
  </si>
  <si>
    <t xml:space="preserve">OTIF 0 or 1</t>
  </si>
  <si>
    <t xml:space="preserve">Schema</t>
  </si>
  <si>
    <t xml:space="preserve">Flat file</t>
  </si>
  <si>
    <t xml:space="preserve">Build star schema</t>
  </si>
  <si>
    <t xml:space="preserve">one table</t>
  </si>
  <si>
    <t xml:space="preserve">fact and dims</t>
  </si>
  <si>
    <t xml:space="preserve">Audit</t>
  </si>
  <si>
    <t xml:space="preserve">No record</t>
  </si>
  <si>
    <t xml:space="preserve">Save this log</t>
  </si>
  <si>
    <t xml:space="preserve">logged</t>
  </si>
  <si>
    <t xml:space="preserve">Steps complete</t>
  </si>
  <si>
    <t xml:space="preserve">Analysis — KPI engine</t>
  </si>
  <si>
    <t xml:space="preserve">Rows 4 to 27 are an illustrative sample for formula demonstration. Replace with the cleaned DataCo extract. KPI cells update automatically.</t>
  </si>
  <si>
    <t xml:space="preserve">OrderID</t>
  </si>
  <si>
    <t xml:space="preserve">Region</t>
  </si>
  <si>
    <t xml:space="preserve">Category</t>
  </si>
  <si>
    <t xml:space="preserve">ShipMode</t>
  </si>
  <si>
    <t xml:space="preserve">DelayDays</t>
  </si>
  <si>
    <t xml:space="preserve">Sales</t>
  </si>
  <si>
    <t xml:space="preserve">QtyOrd</t>
  </si>
  <si>
    <t xml:space="preserve">QtyDel</t>
  </si>
  <si>
    <t xml:space="preserve">OTIF</t>
  </si>
  <si>
    <t xml:space="preserve">KPI</t>
  </si>
  <si>
    <t xml:space="preserve">Value</t>
  </si>
  <si>
    <t xml:space="preserve">Assumptions</t>
  </si>
  <si>
    <t xml:space="preserve">O1001</t>
  </si>
  <si>
    <t xml:space="preserve">Cleats</t>
  </si>
  <si>
    <t xml:space="preserve">Standard Class</t>
  </si>
  <si>
    <t xml:space="preserve">Late delivery</t>
  </si>
  <si>
    <t xml:space="preserve">Total orders</t>
  </si>
  <si>
    <t xml:space="preserve">Order accuracy</t>
  </si>
  <si>
    <t xml:space="preserve">O1002</t>
  </si>
  <si>
    <t xml:space="preserve">Europe</t>
  </si>
  <si>
    <t xml:space="preserve">Electronics</t>
  </si>
  <si>
    <t xml:space="preserve">First Class</t>
  </si>
  <si>
    <t xml:space="preserve">On time</t>
  </si>
  <si>
    <t xml:space="preserve">Canceled orders</t>
  </si>
  <si>
    <t xml:space="preserve">Undamaged rate</t>
  </si>
  <si>
    <t xml:space="preserve">O1003</t>
  </si>
  <si>
    <t xml:space="preserve">Pacific Asia</t>
  </si>
  <si>
    <t xml:space="preserve">Apparel</t>
  </si>
  <si>
    <t xml:space="preserve">Delivered base</t>
  </si>
  <si>
    <t xml:space="preserve">Correct documents</t>
  </si>
  <si>
    <t xml:space="preserve">O1004</t>
  </si>
  <si>
    <t xml:space="preserve">USCA</t>
  </si>
  <si>
    <t xml:space="preserve">Cardio Equipment</t>
  </si>
  <si>
    <t xml:space="preserve">Second Class</t>
  </si>
  <si>
    <t xml:space="preserve">Advance</t>
  </si>
  <si>
    <t xml:space="preserve">Late orders</t>
  </si>
  <si>
    <t xml:space="preserve">O1005</t>
  </si>
  <si>
    <t xml:space="preserve">Late delivery rate</t>
  </si>
  <si>
    <t xml:space="preserve">O1006</t>
  </si>
  <si>
    <t xml:space="preserve">Same Day</t>
  </si>
  <si>
    <t xml:space="preserve">OTIF orders</t>
  </si>
  <si>
    <t xml:space="preserve">O1007</t>
  </si>
  <si>
    <t xml:space="preserve">OTIF rate</t>
  </si>
  <si>
    <t xml:space="preserve">O1008</t>
  </si>
  <si>
    <t xml:space="preserve">Average delay (days)</t>
  </si>
  <si>
    <t xml:space="preserve">O1009</t>
  </si>
  <si>
    <t xml:space="preserve">Sales at risk (late)</t>
  </si>
  <si>
    <t xml:space="preserve">O1010</t>
  </si>
  <si>
    <t xml:space="preserve">Total sales</t>
  </si>
  <si>
    <t xml:space="preserve">O1011</t>
  </si>
  <si>
    <t xml:space="preserve">Fill rate</t>
  </si>
  <si>
    <t xml:space="preserve">O1012</t>
  </si>
  <si>
    <t xml:space="preserve">Perfect order proxy</t>
  </si>
  <si>
    <t xml:space="preserve">O1013</t>
  </si>
  <si>
    <t xml:space="preserve">O1014</t>
  </si>
  <si>
    <t xml:space="preserve">O1015</t>
  </si>
  <si>
    <t xml:space="preserve">O1016</t>
  </si>
  <si>
    <t xml:space="preserve">O1017</t>
  </si>
  <si>
    <t xml:space="preserve">O1018</t>
  </si>
  <si>
    <t xml:space="preserve">O1019</t>
  </si>
  <si>
    <t xml:space="preserve">Shipping canceled</t>
  </si>
  <si>
    <t xml:space="preserve">O1020</t>
  </si>
  <si>
    <t xml:space="preserve">O1021</t>
  </si>
  <si>
    <t xml:space="preserve">O1022</t>
  </si>
  <si>
    <t xml:space="preserve">O1023</t>
  </si>
  <si>
    <t xml:space="preserve">O1024</t>
  </si>
  <si>
    <t xml:space="preserve">Region performance</t>
  </si>
  <si>
    <t xml:space="preserve">Orders</t>
  </si>
  <si>
    <t xml:space="preserve">Late rate</t>
  </si>
  <si>
    <t xml:space="preserve">Total</t>
  </si>
  <si>
    <t xml:space="preserve">PRISMA flow</t>
  </si>
  <si>
    <t xml:space="preserve">PRISMA tracks records from identification to inclusion. Counts below are the project record. The included count is checked against the extraction table.</t>
  </si>
  <si>
    <t xml:space="preserve">Stage</t>
  </si>
  <si>
    <t xml:space="preserve">Count</t>
  </si>
  <si>
    <t xml:space="preserve">Formula or note</t>
  </si>
  <si>
    <t xml:space="preserve">Records identified through databases</t>
  </si>
  <si>
    <t xml:space="preserve">Sum of database hits</t>
  </si>
  <si>
    <t xml:space="preserve">Records identified through other sources</t>
  </si>
  <si>
    <t xml:space="preserve">Reports and grey literature</t>
  </si>
  <si>
    <t xml:space="preserve">Duplicates removed</t>
  </si>
  <si>
    <t xml:space="preserve">Same record across sources</t>
  </si>
  <si>
    <t xml:space="preserve">Records screened</t>
  </si>
  <si>
    <t xml:space="preserve">Identified minus duplicates</t>
  </si>
  <si>
    <t xml:space="preserve">Records excluded at title and abstract</t>
  </si>
  <si>
    <t xml:space="preserve">Off topic or low quality</t>
  </si>
  <si>
    <t xml:space="preserve">Full text assessed for eligibility</t>
  </si>
  <si>
    <t xml:space="preserve">Screened minus excluded</t>
  </si>
  <si>
    <t xml:space="preserve">Full text excluded</t>
  </si>
  <si>
    <t xml:space="preserve">See reasons below</t>
  </si>
  <si>
    <t xml:space="preserve">Studies included</t>
  </si>
  <si>
    <t xml:space="preserve">Assessed minus excluded</t>
  </si>
  <si>
    <t xml:space="preserve">Extraction table rows</t>
  </si>
  <si>
    <t xml:space="preserve">Consistency check</t>
  </si>
  <si>
    <t xml:space="preserve">Exclusion reasons (full text stage)</t>
  </si>
  <si>
    <t xml:space="preserve">Reason</t>
  </si>
  <si>
    <t xml:space="preserve">Not peer reviewed or non primary</t>
  </si>
  <si>
    <t xml:space="preserve">Out of scope topic</t>
  </si>
  <si>
    <t xml:space="preserve">Total excluded</t>
  </si>
  <si>
    <t xml:space="preserve">Bibliometric analysis</t>
  </si>
  <si>
    <t xml:space="preserve">Counts are computed from the extraction table. Bibliometric analysis maps output by year, source type, and evidence level.</t>
  </si>
  <si>
    <t xml:space="preserve">Publications by period</t>
  </si>
  <si>
    <t xml:space="preserve">Publications by type</t>
  </si>
  <si>
    <t xml:space="preserve">Period</t>
  </si>
  <si>
    <t xml:space="preserve">1990 to 2010</t>
  </si>
  <si>
    <t xml:space="preserve">2011 to 2015</t>
  </si>
  <si>
    <t xml:space="preserve">2016 to 2018</t>
  </si>
  <si>
    <t xml:space="preserve">2019 to 2021</t>
  </si>
  <si>
    <t xml:space="preserve">2022 to 2023</t>
  </si>
  <si>
    <t xml:space="preserve">Evidence by level</t>
  </si>
  <si>
    <t xml:space="preserve">Interpretation. The corpus concentrates in 2016 to 2023, which reflects the rise of supply chain analytics and the COVID period. Journal articles dominate, supported by official reports for the India levels.</t>
  </si>
  <si>
    <t xml:space="preserve">N gram keyword analysis</t>
  </si>
  <si>
    <t xml:space="preserve">N gram analysis counts how often terms appear across the corpus. Column A lists the included titles. The term table counts titles that contain each term using COUNTIF with wildcards. Full unigram and bigram analysis is run in Python with a tokeniser and a stopword list.</t>
  </si>
  <si>
    <t xml:space="preserve">Included titles</t>
  </si>
  <si>
    <t xml:space="preserve">Term (unigram / bigram)</t>
  </si>
  <si>
    <t xml:space="preserve">Frequency</t>
  </si>
  <si>
    <t xml:space="preserve">information distortion in a supply chain the bullwhip effect</t>
  </si>
  <si>
    <t xml:space="preserve">supply chain</t>
  </si>
  <si>
    <t xml:space="preserve">performance measures and metrics in a supply chain environment</t>
  </si>
  <si>
    <t xml:space="preserve">big data</t>
  </si>
  <si>
    <t xml:space="preserve">antecedents of supply chain visibility in retail supply chains</t>
  </si>
  <si>
    <t xml:space="preserve">analytics</t>
  </si>
  <si>
    <t xml:space="preserve">data science predictive analytics and big data supply chain</t>
  </si>
  <si>
    <t xml:space="preserve">visibility</t>
  </si>
  <si>
    <t xml:space="preserve">information dashboard design displaying data at a glance</t>
  </si>
  <si>
    <t xml:space="preserve">logistics</t>
  </si>
  <si>
    <t xml:space="preserve">does supply chain visibility enhance agility</t>
  </si>
  <si>
    <t xml:space="preserve">performance</t>
  </si>
  <si>
    <t xml:space="preserve">big data analytics in logistics and supply chain management</t>
  </si>
  <si>
    <t xml:space="preserve">digital</t>
  </si>
  <si>
    <t xml:space="preserve">supply chain operations reference scor model</t>
  </si>
  <si>
    <t xml:space="preserve">resilience</t>
  </si>
  <si>
    <t xml:space="preserve">control towers in supply chain management past and future</t>
  </si>
  <si>
    <t xml:space="preserve">forecasting</t>
  </si>
  <si>
    <t xml:space="preserve">digital supply chain literature review and a proposed framework</t>
  </si>
  <si>
    <t xml:space="preserve">delivery</t>
  </si>
  <si>
    <t xml:space="preserve">big data analytics in supply chain management a state of the art review</t>
  </si>
  <si>
    <t xml:space="preserve">disruption</t>
  </si>
  <si>
    <t xml:space="preserve">brazilian e-commerce public dataset orders and delivery</t>
  </si>
  <si>
    <t xml:space="preserve">dashboard</t>
  </si>
  <si>
    <t xml:space="preserve">dataco smart supply chain for big data analysis</t>
  </si>
  <si>
    <t xml:space="preserve">index</t>
  </si>
  <si>
    <t xml:space="preserve">predicting the impacts of epidemic outbreaks on global supply chains</t>
  </si>
  <si>
    <t xml:space="preserve">Reading. The term supply chain appears most often, which confirms the topical core. Big data, analytics, and visibility cluster around the control tower theme. Resilience and disruption mark the COVID era literature.</t>
  </si>
  <si>
    <t xml:space="preserve">a digital supply chain twin for managing disruption risks and resilience</t>
  </si>
  <si>
    <t xml:space="preserve">national logistics policy reducing logistics cost</t>
  </si>
  <si>
    <t xml:space="preserve">machine learning demand forecasting and supply chain performance</t>
  </si>
  <si>
    <t xml:space="preserve">logistics ease across different states report</t>
  </si>
  <si>
    <t xml:space="preserve">last mile strategies for urban freight delivery a systematic review</t>
  </si>
  <si>
    <t xml:space="preserve">india ranks on the world bank logistics performance index</t>
  </si>
  <si>
    <t xml:space="preserve">connecting to compete trade logistics performance index</t>
  </si>
  <si>
    <t xml:space="preserve">Formula library</t>
  </si>
  <si>
    <t xml:space="preserve">Each required function with exact syntax, a live result, and a plain explanation. XLOOKUP, UNIQUE, FILTER, and LET show Excel 365 syntax; the live demo uses a supported equivalent so a value always appears.</t>
  </si>
  <si>
    <t xml:space="preserve">Mini lookup table</t>
  </si>
  <si>
    <t xml:space="preserve">Sales sample</t>
  </si>
  <si>
    <t xml:space="preserve">ProductID</t>
  </si>
  <si>
    <t xml:space="preserve">UnitPrice</t>
  </si>
  <si>
    <t xml:space="preserve">Cat</t>
  </si>
  <si>
    <t xml:space="preserve">P01</t>
  </si>
  <si>
    <t xml:space="preserve">P02</t>
  </si>
  <si>
    <t xml:space="preserve">P03</t>
  </si>
  <si>
    <t xml:space="preserve">P04</t>
  </si>
  <si>
    <t xml:space="preserve">P05</t>
  </si>
  <si>
    <t xml:space="preserve">Helmets</t>
  </si>
  <si>
    <t xml:space="preserve">Function reference</t>
  </si>
  <si>
    <t xml:space="preserve">Function</t>
  </si>
  <si>
    <t xml:space="preserve">Syntax example</t>
  </si>
  <si>
    <t xml:space="preserve">Live result</t>
  </si>
  <si>
    <t xml:space="preserve">Plain explanation</t>
  </si>
  <si>
    <t xml:space="preserve">IF</t>
  </si>
  <si>
    <t xml:space="preserve">IF(F5&gt;500,"High","Low")</t>
  </si>
  <si>
    <t xml:space="preserve">Returns one value when a test is true and another when false.</t>
  </si>
  <si>
    <t xml:space="preserve">COUNTIF</t>
  </si>
  <si>
    <t xml:space="preserve">COUNTIF(E5:E9,"Electronics")</t>
  </si>
  <si>
    <t xml:space="preserve">Counts cells in a range that meet one condition.</t>
  </si>
  <si>
    <t xml:space="preserve">COUNTIFS</t>
  </si>
  <si>
    <t xml:space="preserve">COUNTIFS(E5:E9,"Cleats",F5:F9,"&gt;200")</t>
  </si>
  <si>
    <t xml:space="preserve">Counts rows that meet several conditions at once.</t>
  </si>
  <si>
    <t xml:space="preserve">SUMIF</t>
  </si>
  <si>
    <t xml:space="preserve">SUMIF(E5:E9,"Electronics",F5:F9)</t>
  </si>
  <si>
    <t xml:space="preserve">Adds values where a single condition holds.</t>
  </si>
  <si>
    <t xml:space="preserve">SUMIFS</t>
  </si>
  <si>
    <t xml:space="preserve">SUMIFS(F5:F9,E5:E9,"Cleats")</t>
  </si>
  <si>
    <t xml:space="preserve">Adds values where several conditions hold.</t>
  </si>
  <si>
    <t xml:space="preserve">INDEX + MATCH</t>
  </si>
  <si>
    <t xml:space="preserve">INDEX(B5:B9,MATCH("P03",A5:A9,0))</t>
  </si>
  <si>
    <t xml:space="preserve">Looks up a value by matching a key. Works in every version.</t>
  </si>
  <si>
    <t xml:space="preserve">TEXTJOIN</t>
  </si>
  <si>
    <t xml:space="preserve">TEXTJOIN(" | ",TRUE,A5,B5,C5)</t>
  </si>
  <si>
    <t xml:space="preserve">Joins fields into one labelled key. Live demo uses the &amp; operator because some engines lack TEXTJOIN.</t>
  </si>
  <si>
    <t xml:space="preserve">XLOOKUP</t>
  </si>
  <si>
    <t xml:space="preserve">XLOOKUP("P03",A5:A9,B5:B9)</t>
  </si>
  <si>
    <t xml:space="preserve">Excel 365 lookup. Finds a key and returns a matched value. Live demo uses INDEX MATCH.</t>
  </si>
  <si>
    <t xml:space="preserve">UNIQUE</t>
  </si>
  <si>
    <t xml:space="preserve">UNIQUE(E5:E9)</t>
  </si>
  <si>
    <t xml:space="preserve">Excel 365 returns the distinct list. Live demo counts how many distinct categories exist.</t>
  </si>
  <si>
    <t xml:space="preserve">FILTER</t>
  </si>
  <si>
    <t xml:space="preserve">FILTER(E5:F9,F5:F9&gt;500)</t>
  </si>
  <si>
    <t xml:space="preserve">Excel 365 returns only rows that pass a test. Live demo counts how many rows pass.</t>
  </si>
  <si>
    <t xml:space="preserve">LET</t>
  </si>
  <si>
    <t xml:space="preserve">LET(d,F5-F6,IF(d&gt;0,"up","down"))</t>
  </si>
  <si>
    <t xml:space="preserve">Excel 365 names a value once then reuses it. Live demo shows the same logic.</t>
  </si>
  <si>
    <t xml:space="preserve">Pivot summary</t>
  </si>
  <si>
    <t xml:space="preserve">PivotTable: rows Category, values Sum of Sales</t>
  </si>
  <si>
    <t xml:space="preserve">A pivot table groups and totals data. The SUMIF here gives the same group total without a pivot.</t>
  </si>
  <si>
    <t xml:space="preserve">References (APA 7)</t>
  </si>
  <si>
    <t xml:space="preserve">Full bibliography with type, level, verification status, and link. All sources were checked against a primary record.</t>
  </si>
  <si>
    <t xml:space="preserve">APA 7 citation</t>
  </si>
  <si>
    <t xml:space="preserve">Lee, H. L., Padmanabhan, V., &amp; Whang, S. (1997). Information distortion in a supply chain: The bullwhip effect. Management Science, 43(4), 546-558.</t>
  </si>
  <si>
    <t xml:space="preserve">Gunasekaran, A., Patel, C., &amp; Tirtiroglu, E. (2001). Performance measures and metrics in a supply chain environment. IJOPM, 21(1/2), 71-87.</t>
  </si>
  <si>
    <t xml:space="preserve">Barratt, M., &amp; Oke, A. (2007). Antecedents of supply chain visibility in retail supply chains. Journal of Operations Management, 25(6), 1217-1233.</t>
  </si>
  <si>
    <t xml:space="preserve">Waller, M. A., &amp; Fawcett, S. E. (2013). Data science, predictive analytics, and big data. Journal of Business Logistics, 34(2), 77-84.</t>
  </si>
  <si>
    <t xml:space="preserve">Few, S. (2013). Information dashboard design (2nd ed.). Analytics Press.</t>
  </si>
  <si>
    <t xml:space="preserve">Brusset, X. (2016). Does supply chain visibility enhance agility? International Journal of Production Economics, 171, 46-59.</t>
  </si>
  <si>
    <t xml:space="preserve">Wang, G., Gunasekaran, A., Ngai, E. W. T., &amp; Papadopoulos, T. (2016). Big data analytics in logistics and supply chain management. IJPE, 176, 98-110.</t>
  </si>
  <si>
    <t xml:space="preserve">APICS. (2017). Supply Chain Operations Reference (SCOR) model, version 12.0. APICS.</t>
  </si>
  <si>
    <t xml:space="preserve">Trzuskawska-Grzesinska, A. (2017). Control towers in supply chain management: Past and future. Journal of Economics and Management, 27(1), 114-133.</t>
  </si>
  <si>
    <t xml:space="preserve">Buyukozkan, G., &amp; Gocer, F. (2018). Digital supply chain: Literature review and a proposed framework. Computers in Industry, 97, 157-177.</t>
  </si>
  <si>
    <t xml:space="preserve">Nguyen, T., Zhou, L., Spiegler, V., Ieromonachou, P., &amp; Lin, Y. (2018). Big data analytics in supply chain management. Computers &amp; Operations Research, 98, 254-264.</t>
  </si>
  <si>
    <t xml:space="preserve">Olist. (2018). Brazilian e-commerce public dataset by Olist [Data set]. Kaggle.</t>
  </si>
  <si>
    <t xml:space="preserve">Constante, F., Silva, F., &amp; Pereira, A. (2019). DataCo smart supply chain for big data analysis [Data set]. Mendeley Data, V5.</t>
  </si>
  <si>
    <t xml:space="preserve">Ivanov, D. (2020). Predicting the impacts of epidemic outbreaks on global supply chains. Transportation Research Part E, 136, 101922.</t>
  </si>
  <si>
    <t xml:space="preserve">Department for Promotion of Industry and Internal Trade. (2021). PM Gati Shakti national master plan. Government of India.</t>
  </si>
  <si>
    <t xml:space="preserve">Ivanov, D., &amp; Dolgui, A. (2021). A digital supply chain twin for managing disruption risks and resilience. Production Planning &amp; Control, 32(9), 775-788.</t>
  </si>
  <si>
    <t xml:space="preserve">Department for Promotion of Industry and Internal Trade. (2022). National Logistics Policy. Government of India.</t>
  </si>
  <si>
    <t xml:space="preserve">Feizabadi, J. (2022). Machine learning demand forecasting and supply chain performance. IJLRA, 25(2), 119-142.</t>
  </si>
  <si>
    <t xml:space="preserve">Department for Promotion of Industry and Internal Trade. (2023). Logistics Ease Across Different States (LEADS) 2023. Government of India.</t>
  </si>
  <si>
    <t xml:space="preserve">Lyons, T., &amp; McDonald, N. C. (2023). Last-mile strategies for urban freight delivery: A systematic review. Transportation Research Record, 2677(1).</t>
  </si>
  <si>
    <t xml:space="preserve">Press Information Bureau. (2023). India ranks 38 of 139 on the World Bank LPI 2023. Government of India.</t>
  </si>
  <si>
    <t xml:space="preserve">World Bank. (2023). Connecting to compete 2023: Trade logistics in an uncertain global economy. The World Bank.</t>
  </si>
  <si>
    <t xml:space="preserve">Total references</t>
  </si>
  <si>
    <t xml:space="preserve">Final Summary — Project 1</t>
  </si>
  <si>
    <t xml:space="preserve">One page status view. KPI figures link live to the analysis sheet. Reference counts link to the references sheet.</t>
  </si>
  <si>
    <t xml:space="preserve">Project</t>
  </si>
  <si>
    <t xml:space="preserve">Supply Chain Control Tower Dashboard</t>
  </si>
  <si>
    <t xml:space="preserve">Core question</t>
  </si>
  <si>
    <t xml:space="preserve">What drives late delivery and can high risk orders be flagged before dispatch</t>
  </si>
  <si>
    <t xml:space="preserve">Primary dataset</t>
  </si>
  <si>
    <t xml:space="preserve">DataCo Smart Supply Chain (Constante, Silva &amp; Pereira, 2019)</t>
  </si>
  <si>
    <t xml:space="preserve">Headline KPIs (illustrative sample)</t>
  </si>
  <si>
    <t xml:space="preserve">Evidence base</t>
  </si>
  <si>
    <t xml:space="preserve">Verified references</t>
  </si>
  <si>
    <t xml:space="preserve">Studies included (PRISMA)</t>
  </si>
  <si>
    <t xml:space="preserve">Status checklist</t>
  </si>
  <si>
    <t xml:space="preserve">Search logged</t>
  </si>
  <si>
    <t xml:space="preserve">Screening complete</t>
  </si>
  <si>
    <t xml:space="preserve">Extraction complete</t>
  </si>
  <si>
    <t xml:space="preserve">PRISMA consistent</t>
  </si>
  <si>
    <t xml:space="preserve">Bibliometric done</t>
  </si>
  <si>
    <t xml:space="preserve">N gram done</t>
  </si>
  <si>
    <t xml:space="preserve">KPIs computing</t>
  </si>
  <si>
    <t xml:space="preserve">References verified</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</si>
</sst>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b val="true"/>
      <sz val="11"/>
      <name val="Arial"/>
      <family val="0"/>
      <charset val="1"/>
    </font>
    <font>
      <sz val="11"/>
      <name val="Arial"/>
      <family val="0"/>
      <charset val="1"/>
    </font>
    <font>
      <i val="true"/>
      <sz val="9"/>
      <color rgb="FF555555"/>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s>
  <fills count="4">
    <fill>
      <patternFill patternType="none"/>
    </fill>
    <fill>
      <patternFill patternType="gray125"/>
    </fill>
    <fill>
      <patternFill patternType="solid">
        <fgColor rgb="FFD9E2F3"/>
        <bgColor rgb="FFCC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2"/>
  </cols>
  <sheetData>
    <row r="1" customFormat="false" ht="18.55" hidden="false" customHeight="false" outlineLevel="0" collapsed="false">
      <c r="A1" s="1" t="s">
        <v>0</v>
      </c>
      <c r="B1" s="1"/>
    </row>
    <row r="3" customFormat="false" ht="45.75" hidden="false" customHeight="true" outlineLevel="0" collapsed="false">
      <c r="A3" s="2" t="s">
        <v>1</v>
      </c>
      <c r="B3" s="3" t="s">
        <v>2</v>
      </c>
    </row>
    <row r="4" customFormat="false" ht="45.75" hidden="false" customHeight="true" outlineLevel="0" collapsed="false">
      <c r="A4" s="2" t="s">
        <v>3</v>
      </c>
      <c r="B4" s="3" t="s">
        <v>4</v>
      </c>
    </row>
    <row r="5" customFormat="false" ht="45.75" hidden="false" customHeight="true" outlineLevel="0" collapsed="false">
      <c r="A5" s="2" t="s">
        <v>5</v>
      </c>
      <c r="B5" s="3" t="s">
        <v>6</v>
      </c>
    </row>
    <row r="6" customFormat="false" ht="45.75" hidden="false" customHeight="true" outlineLevel="0" collapsed="false">
      <c r="A6" s="2" t="s">
        <v>7</v>
      </c>
      <c r="B6" s="3" t="s">
        <v>8</v>
      </c>
    </row>
    <row r="7" customFormat="false" ht="45.75" hidden="false" customHeight="true" outlineLevel="0" collapsed="false">
      <c r="A7" s="2" t="s">
        <v>9</v>
      </c>
      <c r="B7" s="3" t="s">
        <v>10</v>
      </c>
    </row>
    <row r="8" customFormat="false" ht="45.75" hidden="false" customHeight="true" outlineLevel="0" collapsed="false">
      <c r="A8" s="2" t="s">
        <v>11</v>
      </c>
      <c r="B8" s="3" t="s">
        <v>12</v>
      </c>
    </row>
    <row r="9" customFormat="false" ht="45.75" hidden="false" customHeight="true" outlineLevel="0" collapsed="false">
      <c r="A9" s="2" t="s">
        <v>13</v>
      </c>
      <c r="B9" s="3" t="s">
        <v>14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0"/>
    <col collapsed="false" customWidth="true" hidden="false" outlineLevel="0" max="4" min="4" style="0" width="40"/>
    <col collapsed="false" customWidth="true" hidden="false" outlineLevel="0" max="5" min="5" style="0" width="16"/>
    <col collapsed="false" customWidth="true" hidden="false" outlineLevel="0" max="6" min="6" style="0" width="11"/>
    <col collapsed="false" customWidth="true" hidden="false" outlineLevel="0" max="7" min="7" style="0" width="8"/>
    <col collapsed="false" customWidth="true" hidden="false" outlineLevel="0" max="8" min="8" style="0" width="26"/>
  </cols>
  <sheetData>
    <row r="1" customFormat="false" ht="18.55" hidden="false" customHeight="false" outlineLevel="0" collapsed="false">
      <c r="A1" s="1" t="s">
        <v>15</v>
      </c>
      <c r="B1" s="1"/>
      <c r="C1" s="1"/>
      <c r="D1" s="1"/>
      <c r="E1" s="1"/>
      <c r="F1" s="1"/>
      <c r="G1" s="1"/>
      <c r="H1" s="1"/>
    </row>
    <row r="2" customFormat="false" ht="15" hidden="false" customHeight="true" outlineLevel="0" collapsed="false">
      <c r="A2" s="4" t="s">
        <v>16</v>
      </c>
      <c r="B2" s="4"/>
      <c r="C2" s="4"/>
      <c r="D2" s="4"/>
      <c r="E2" s="4"/>
      <c r="F2" s="4"/>
      <c r="G2" s="4"/>
      <c r="H2" s="4"/>
    </row>
    <row r="3" customFormat="false" ht="26.85" hidden="false" customHeight="false" outlineLevel="0" collapsed="false">
      <c r="A3" s="5" t="s">
        <v>17</v>
      </c>
      <c r="B3" s="5" t="s">
        <v>18</v>
      </c>
      <c r="C3" s="5" t="s">
        <v>19</v>
      </c>
      <c r="D3" s="5" t="s">
        <v>20</v>
      </c>
      <c r="E3" s="5" t="s">
        <v>21</v>
      </c>
      <c r="F3" s="5" t="s">
        <v>22</v>
      </c>
      <c r="G3" s="5" t="s">
        <v>23</v>
      </c>
      <c r="H3" s="5" t="s">
        <v>24</v>
      </c>
    </row>
    <row r="4" customFormat="false" ht="26.85" hidden="false" customHeight="false" outlineLevel="0" collapsed="false">
      <c r="A4" s="6" t="n">
        <v>1</v>
      </c>
      <c r="B4" s="6" t="s">
        <v>25</v>
      </c>
      <c r="C4" s="6" t="s">
        <v>26</v>
      </c>
      <c r="D4" s="3" t="s">
        <v>27</v>
      </c>
      <c r="E4" s="6" t="s">
        <v>28</v>
      </c>
      <c r="F4" s="6" t="n">
        <v>9</v>
      </c>
      <c r="G4" s="6" t="s">
        <v>29</v>
      </c>
      <c r="H4" s="3" t="s">
        <v>30</v>
      </c>
    </row>
    <row r="5" customFormat="false" ht="26.85" hidden="false" customHeight="false" outlineLevel="0" collapsed="false">
      <c r="A5" s="6" t="n">
        <v>2</v>
      </c>
      <c r="B5" s="6" t="s">
        <v>25</v>
      </c>
      <c r="C5" s="6" t="s">
        <v>26</v>
      </c>
      <c r="D5" s="3" t="s">
        <v>31</v>
      </c>
      <c r="E5" s="6" t="s">
        <v>32</v>
      </c>
      <c r="F5" s="6" t="n">
        <v>8</v>
      </c>
      <c r="G5" s="6" t="s">
        <v>29</v>
      </c>
      <c r="H5" s="3" t="s">
        <v>33</v>
      </c>
    </row>
    <row r="6" customFormat="false" ht="26.85" hidden="false" customHeight="false" outlineLevel="0" collapsed="false">
      <c r="A6" s="6" t="n">
        <v>3</v>
      </c>
      <c r="B6" s="6" t="s">
        <v>25</v>
      </c>
      <c r="C6" s="6" t="s">
        <v>26</v>
      </c>
      <c r="D6" s="3" t="s">
        <v>34</v>
      </c>
      <c r="E6" s="6" t="s">
        <v>35</v>
      </c>
      <c r="F6" s="6" t="n">
        <v>7</v>
      </c>
      <c r="G6" s="6" t="s">
        <v>29</v>
      </c>
      <c r="H6" s="3" t="s">
        <v>36</v>
      </c>
    </row>
    <row r="7" customFormat="false" ht="26.85" hidden="false" customHeight="false" outlineLevel="0" collapsed="false">
      <c r="A7" s="6" t="n">
        <v>4</v>
      </c>
      <c r="B7" s="6" t="s">
        <v>25</v>
      </c>
      <c r="C7" s="6" t="s">
        <v>26</v>
      </c>
      <c r="D7" s="3" t="s">
        <v>37</v>
      </c>
      <c r="E7" s="6" t="s">
        <v>28</v>
      </c>
      <c r="F7" s="6" t="n">
        <v>8</v>
      </c>
      <c r="G7" s="6" t="s">
        <v>29</v>
      </c>
      <c r="H7" s="3" t="s">
        <v>38</v>
      </c>
    </row>
    <row r="8" customFormat="false" ht="26.85" hidden="false" customHeight="false" outlineLevel="0" collapsed="false">
      <c r="A8" s="6" t="n">
        <v>5</v>
      </c>
      <c r="B8" s="6" t="s">
        <v>25</v>
      </c>
      <c r="C8" s="6" t="s">
        <v>39</v>
      </c>
      <c r="D8" s="3" t="s">
        <v>40</v>
      </c>
      <c r="E8" s="6" t="s">
        <v>41</v>
      </c>
      <c r="F8" s="6" t="n">
        <v>10</v>
      </c>
      <c r="G8" s="6" t="s">
        <v>29</v>
      </c>
      <c r="H8" s="3" t="s">
        <v>42</v>
      </c>
    </row>
    <row r="9" customFormat="false" ht="26.85" hidden="false" customHeight="false" outlineLevel="0" collapsed="false">
      <c r="A9" s="6" t="n">
        <v>6</v>
      </c>
      <c r="B9" s="6" t="s">
        <v>25</v>
      </c>
      <c r="C9" s="6" t="s">
        <v>26</v>
      </c>
      <c r="D9" s="3" t="s">
        <v>43</v>
      </c>
      <c r="E9" s="6" t="s">
        <v>44</v>
      </c>
      <c r="F9" s="6" t="n">
        <v>9</v>
      </c>
      <c r="G9" s="6" t="s">
        <v>29</v>
      </c>
      <c r="H9" s="3" t="s">
        <v>45</v>
      </c>
    </row>
    <row r="10" customFormat="false" ht="26.85" hidden="false" customHeight="false" outlineLevel="0" collapsed="false">
      <c r="A10" s="6" t="n">
        <v>7</v>
      </c>
      <c r="B10" s="6" t="s">
        <v>25</v>
      </c>
      <c r="C10" s="6" t="s">
        <v>26</v>
      </c>
      <c r="D10" s="3" t="s">
        <v>46</v>
      </c>
      <c r="E10" s="6" t="s">
        <v>47</v>
      </c>
      <c r="F10" s="6" t="n">
        <v>7</v>
      </c>
      <c r="G10" s="6" t="s">
        <v>29</v>
      </c>
      <c r="H10" s="3" t="s">
        <v>48</v>
      </c>
    </row>
    <row r="11" customFormat="false" ht="26.85" hidden="false" customHeight="false" outlineLevel="0" collapsed="false">
      <c r="A11" s="6" t="n">
        <v>8</v>
      </c>
      <c r="B11" s="6" t="s">
        <v>25</v>
      </c>
      <c r="C11" s="6" t="s">
        <v>49</v>
      </c>
      <c r="D11" s="3" t="s">
        <v>50</v>
      </c>
      <c r="E11" s="6" t="s">
        <v>51</v>
      </c>
      <c r="F11" s="6" t="n">
        <v>7</v>
      </c>
      <c r="G11" s="6" t="s">
        <v>29</v>
      </c>
      <c r="H11" s="3" t="s">
        <v>52</v>
      </c>
    </row>
    <row r="12" customFormat="false" ht="26.85" hidden="false" customHeight="false" outlineLevel="0" collapsed="false">
      <c r="A12" s="6" t="n">
        <v>9</v>
      </c>
      <c r="B12" s="6" t="s">
        <v>25</v>
      </c>
      <c r="C12" s="6" t="s">
        <v>53</v>
      </c>
      <c r="D12" s="3" t="s">
        <v>54</v>
      </c>
      <c r="E12" s="6" t="s">
        <v>51</v>
      </c>
      <c r="F12" s="6" t="n">
        <v>9</v>
      </c>
      <c r="G12" s="6" t="s">
        <v>29</v>
      </c>
      <c r="H12" s="3" t="s">
        <v>55</v>
      </c>
    </row>
    <row r="13" customFormat="false" ht="26.85" hidden="false" customHeight="false" outlineLevel="0" collapsed="false">
      <c r="A13" s="6" t="n">
        <v>10</v>
      </c>
      <c r="B13" s="6" t="s">
        <v>25</v>
      </c>
      <c r="C13" s="6" t="s">
        <v>56</v>
      </c>
      <c r="D13" s="3" t="s">
        <v>57</v>
      </c>
      <c r="E13" s="6" t="s">
        <v>58</v>
      </c>
      <c r="F13" s="6" t="n">
        <v>9</v>
      </c>
      <c r="G13" s="6" t="s">
        <v>29</v>
      </c>
      <c r="H13" s="3" t="s">
        <v>59</v>
      </c>
    </row>
    <row r="14" customFormat="false" ht="26.85" hidden="false" customHeight="false" outlineLevel="0" collapsed="false">
      <c r="A14" s="6" t="n">
        <v>11</v>
      </c>
      <c r="B14" s="6" t="s">
        <v>25</v>
      </c>
      <c r="C14" s="6" t="s">
        <v>26</v>
      </c>
      <c r="D14" s="3" t="s">
        <v>60</v>
      </c>
      <c r="E14" s="6" t="s">
        <v>32</v>
      </c>
      <c r="F14" s="6" t="n">
        <v>9</v>
      </c>
      <c r="G14" s="6" t="s">
        <v>29</v>
      </c>
      <c r="H14" s="3" t="s">
        <v>61</v>
      </c>
    </row>
    <row r="15" customFormat="false" ht="26.85" hidden="false" customHeight="false" outlineLevel="0" collapsed="false">
      <c r="A15" s="6" t="n">
        <v>12</v>
      </c>
      <c r="B15" s="6" t="s">
        <v>25</v>
      </c>
      <c r="C15" s="6" t="s">
        <v>26</v>
      </c>
      <c r="D15" s="3" t="s">
        <v>62</v>
      </c>
      <c r="E15" s="6" t="s">
        <v>32</v>
      </c>
      <c r="F15" s="6" t="n">
        <v>8</v>
      </c>
      <c r="G15" s="6" t="s">
        <v>29</v>
      </c>
      <c r="H15" s="3" t="s">
        <v>63</v>
      </c>
    </row>
    <row r="16" customFormat="false" ht="26.85" hidden="false" customHeight="false" outlineLevel="0" collapsed="false">
      <c r="A16" s="6" t="n">
        <v>13</v>
      </c>
      <c r="B16" s="6" t="s">
        <v>25</v>
      </c>
      <c r="C16" s="6" t="s">
        <v>26</v>
      </c>
      <c r="D16" s="3" t="s">
        <v>64</v>
      </c>
      <c r="E16" s="6" t="s">
        <v>65</v>
      </c>
      <c r="F16" s="6" t="n">
        <v>9</v>
      </c>
      <c r="G16" s="6" t="s">
        <v>29</v>
      </c>
      <c r="H16" s="3" t="s">
        <v>66</v>
      </c>
    </row>
    <row r="17" customFormat="false" ht="26.85" hidden="false" customHeight="false" outlineLevel="0" collapsed="false">
      <c r="A17" s="6" t="n">
        <v>14</v>
      </c>
      <c r="B17" s="6" t="s">
        <v>25</v>
      </c>
      <c r="C17" s="6" t="s">
        <v>26</v>
      </c>
      <c r="D17" s="3" t="s">
        <v>67</v>
      </c>
      <c r="E17" s="6" t="s">
        <v>32</v>
      </c>
      <c r="F17" s="6" t="n">
        <v>8</v>
      </c>
      <c r="G17" s="6" t="s">
        <v>29</v>
      </c>
      <c r="H17" s="3" t="s">
        <v>68</v>
      </c>
    </row>
    <row r="18" customFormat="false" ht="26.85" hidden="false" customHeight="false" outlineLevel="0" collapsed="false">
      <c r="A18" s="6" t="n">
        <v>15</v>
      </c>
      <c r="B18" s="6" t="s">
        <v>25</v>
      </c>
      <c r="C18" s="6" t="s">
        <v>69</v>
      </c>
      <c r="D18" s="3" t="s">
        <v>70</v>
      </c>
      <c r="E18" s="6" t="s">
        <v>51</v>
      </c>
      <c r="F18" s="6" t="n">
        <v>7</v>
      </c>
      <c r="G18" s="6" t="s">
        <v>29</v>
      </c>
      <c r="H18" s="3" t="s">
        <v>71</v>
      </c>
    </row>
    <row r="19" customFormat="false" ht="15" hidden="false" customHeight="false" outlineLevel="0" collapsed="false">
      <c r="A19" s="6" t="n">
        <v>16</v>
      </c>
      <c r="B19" s="6" t="s">
        <v>25</v>
      </c>
      <c r="C19" s="6" t="s">
        <v>72</v>
      </c>
      <c r="D19" s="3" t="s">
        <v>73</v>
      </c>
      <c r="E19" s="6" t="s">
        <v>74</v>
      </c>
      <c r="F19" s="6" t="n">
        <v>10</v>
      </c>
      <c r="G19" s="6" t="s">
        <v>29</v>
      </c>
      <c r="H19" s="3" t="s">
        <v>75</v>
      </c>
    </row>
    <row r="20" customFormat="false" ht="26.85" hidden="false" customHeight="false" outlineLevel="0" collapsed="false">
      <c r="A20" s="6" t="n">
        <v>17</v>
      </c>
      <c r="B20" s="6" t="s">
        <v>25</v>
      </c>
      <c r="C20" s="6" t="s">
        <v>26</v>
      </c>
      <c r="D20" s="3" t="s">
        <v>76</v>
      </c>
      <c r="E20" s="6" t="s">
        <v>32</v>
      </c>
      <c r="F20" s="6" t="n">
        <v>7</v>
      </c>
      <c r="G20" s="6" t="s">
        <v>29</v>
      </c>
      <c r="H20" s="3" t="s">
        <v>77</v>
      </c>
    </row>
    <row r="21" customFormat="false" ht="26.85" hidden="false" customHeight="false" outlineLevel="0" collapsed="false">
      <c r="A21" s="6" t="n">
        <v>18</v>
      </c>
      <c r="B21" s="6" t="s">
        <v>25</v>
      </c>
      <c r="C21" s="6" t="s">
        <v>78</v>
      </c>
      <c r="D21" s="3" t="s">
        <v>79</v>
      </c>
      <c r="E21" s="6" t="s">
        <v>32</v>
      </c>
      <c r="F21" s="6" t="n">
        <v>9</v>
      </c>
      <c r="G21" s="6" t="s">
        <v>29</v>
      </c>
      <c r="H21" s="3" t="s">
        <v>80</v>
      </c>
    </row>
    <row r="22" customFormat="false" ht="26.85" hidden="false" customHeight="false" outlineLevel="0" collapsed="false">
      <c r="A22" s="6" t="n">
        <v>19</v>
      </c>
      <c r="B22" s="6" t="s">
        <v>25</v>
      </c>
      <c r="C22" s="6" t="s">
        <v>81</v>
      </c>
      <c r="D22" s="3" t="s">
        <v>82</v>
      </c>
      <c r="E22" s="6" t="s">
        <v>83</v>
      </c>
      <c r="F22" s="6" t="n">
        <v>10</v>
      </c>
      <c r="G22" s="6" t="s">
        <v>29</v>
      </c>
      <c r="H22" s="3" t="s">
        <v>84</v>
      </c>
    </row>
    <row r="23" customFormat="false" ht="26.85" hidden="false" customHeight="false" outlineLevel="0" collapsed="false">
      <c r="A23" s="6" t="n">
        <v>20</v>
      </c>
      <c r="B23" s="6" t="s">
        <v>25</v>
      </c>
      <c r="C23" s="6" t="s">
        <v>85</v>
      </c>
      <c r="D23" s="3" t="s">
        <v>86</v>
      </c>
      <c r="E23" s="6" t="s">
        <v>28</v>
      </c>
      <c r="F23" s="6" t="n">
        <v>30</v>
      </c>
      <c r="G23" s="6" t="s">
        <v>87</v>
      </c>
      <c r="H23" s="3" t="s">
        <v>88</v>
      </c>
    </row>
    <row r="25" customFormat="false" ht="15" hidden="false" customHeight="false" outlineLevel="0" collapsed="false">
      <c r="C25" s="7" t="s">
        <v>89</v>
      </c>
      <c r="F25" s="7" t="n">
        <f aca="false">COUNTA(A4:A23)</f>
        <v>20</v>
      </c>
    </row>
    <row r="26" customFormat="false" ht="15" hidden="false" customHeight="false" outlineLevel="0" collapsed="false">
      <c r="C26" s="7" t="s">
        <v>90</v>
      </c>
      <c r="F26" s="7" t="n">
        <f aca="false">COUNTIF(G4:G23,"Y")</f>
        <v>19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8"/>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12"/>
    <col collapsed="false" customWidth="true" hidden="false" outlineLevel="0" max="8" min="8" style="0" width="28"/>
  </cols>
  <sheetData>
    <row r="1" customFormat="false" ht="18.55" hidden="false" customHeight="false" outlineLevel="0" collapsed="false">
      <c r="A1" s="1" t="s">
        <v>91</v>
      </c>
      <c r="B1" s="1"/>
      <c r="C1" s="1"/>
      <c r="D1" s="1"/>
      <c r="E1" s="1"/>
      <c r="F1" s="1"/>
      <c r="G1" s="1"/>
      <c r="H1" s="1"/>
    </row>
    <row r="2" customFormat="false" ht="15" hidden="false" customHeight="true" outlineLevel="0" collapsed="false">
      <c r="A2" s="4" t="s">
        <v>92</v>
      </c>
      <c r="B2" s="4"/>
      <c r="C2" s="4"/>
      <c r="D2" s="4"/>
      <c r="E2" s="4"/>
      <c r="F2" s="4"/>
      <c r="G2" s="4"/>
      <c r="H2" s="4"/>
    </row>
    <row r="3" customFormat="false" ht="26.85" hidden="false" customHeight="false" outlineLevel="0" collapsed="false">
      <c r="A3" s="5" t="s">
        <v>93</v>
      </c>
      <c r="B3" s="5" t="s">
        <v>94</v>
      </c>
      <c r="C3" s="5" t="s">
        <v>95</v>
      </c>
      <c r="D3" s="5" t="s">
        <v>96</v>
      </c>
      <c r="E3" s="5" t="s">
        <v>97</v>
      </c>
      <c r="F3" s="5" t="s">
        <v>98</v>
      </c>
      <c r="G3" s="5" t="s">
        <v>99</v>
      </c>
      <c r="H3" s="5" t="s">
        <v>100</v>
      </c>
    </row>
    <row r="4" customFormat="false" ht="15" hidden="false" customHeight="false" outlineLevel="0" collapsed="false">
      <c r="A4" s="3" t="n">
        <v>1</v>
      </c>
      <c r="B4" s="3" t="s">
        <v>101</v>
      </c>
      <c r="C4" s="3" t="s">
        <v>102</v>
      </c>
      <c r="D4" s="3" t="s">
        <v>103</v>
      </c>
      <c r="E4" s="8" t="s">
        <v>29</v>
      </c>
      <c r="F4" s="8" t="s">
        <v>29</v>
      </c>
      <c r="G4" s="8" t="s">
        <v>104</v>
      </c>
      <c r="H4" s="3"/>
    </row>
    <row r="5" customFormat="false" ht="15" hidden="false" customHeight="false" outlineLevel="0" collapsed="false">
      <c r="A5" s="3" t="n">
        <v>2</v>
      </c>
      <c r="B5" s="3" t="s">
        <v>105</v>
      </c>
      <c r="C5" s="3" t="s">
        <v>106</v>
      </c>
      <c r="D5" s="3" t="s">
        <v>103</v>
      </c>
      <c r="E5" s="8" t="s">
        <v>29</v>
      </c>
      <c r="F5" s="8" t="s">
        <v>29</v>
      </c>
      <c r="G5" s="8" t="s">
        <v>104</v>
      </c>
      <c r="H5" s="3"/>
    </row>
    <row r="6" customFormat="false" ht="15" hidden="false" customHeight="false" outlineLevel="0" collapsed="false">
      <c r="A6" s="3" t="n">
        <v>3</v>
      </c>
      <c r="B6" s="3" t="s">
        <v>107</v>
      </c>
      <c r="C6" s="3" t="s">
        <v>108</v>
      </c>
      <c r="D6" s="3" t="s">
        <v>103</v>
      </c>
      <c r="E6" s="8" t="s">
        <v>29</v>
      </c>
      <c r="F6" s="8" t="s">
        <v>29</v>
      </c>
      <c r="G6" s="8" t="s">
        <v>104</v>
      </c>
      <c r="H6" s="3"/>
    </row>
    <row r="7" customFormat="false" ht="15" hidden="false" customHeight="false" outlineLevel="0" collapsed="false">
      <c r="A7" s="3" t="n">
        <v>4</v>
      </c>
      <c r="B7" s="3" t="s">
        <v>109</v>
      </c>
      <c r="C7" s="3" t="s">
        <v>110</v>
      </c>
      <c r="D7" s="3" t="s">
        <v>103</v>
      </c>
      <c r="E7" s="8" t="s">
        <v>29</v>
      </c>
      <c r="F7" s="8" t="s">
        <v>29</v>
      </c>
      <c r="G7" s="8" t="s">
        <v>104</v>
      </c>
      <c r="H7" s="3"/>
    </row>
    <row r="8" customFormat="false" ht="15" hidden="false" customHeight="false" outlineLevel="0" collapsed="false">
      <c r="A8" s="3" t="n">
        <v>5</v>
      </c>
      <c r="B8" s="3" t="s">
        <v>111</v>
      </c>
      <c r="C8" s="3" t="s">
        <v>110</v>
      </c>
      <c r="D8" s="3" t="s">
        <v>112</v>
      </c>
      <c r="E8" s="8" t="s">
        <v>29</v>
      </c>
      <c r="F8" s="8" t="s">
        <v>29</v>
      </c>
      <c r="G8" s="8" t="s">
        <v>104</v>
      </c>
      <c r="H8" s="3"/>
    </row>
    <row r="9" customFormat="false" ht="15" hidden="false" customHeight="false" outlineLevel="0" collapsed="false">
      <c r="A9" s="3" t="n">
        <v>6</v>
      </c>
      <c r="B9" s="3" t="s">
        <v>113</v>
      </c>
      <c r="C9" s="3" t="s">
        <v>114</v>
      </c>
      <c r="D9" s="3" t="s">
        <v>103</v>
      </c>
      <c r="E9" s="8" t="s">
        <v>29</v>
      </c>
      <c r="F9" s="8" t="s">
        <v>29</v>
      </c>
      <c r="G9" s="8" t="s">
        <v>104</v>
      </c>
      <c r="H9" s="3"/>
    </row>
    <row r="10" customFormat="false" ht="26.85" hidden="false" customHeight="false" outlineLevel="0" collapsed="false">
      <c r="A10" s="3" t="n">
        <v>7</v>
      </c>
      <c r="B10" s="3" t="s">
        <v>115</v>
      </c>
      <c r="C10" s="3" t="s">
        <v>114</v>
      </c>
      <c r="D10" s="3" t="s">
        <v>103</v>
      </c>
      <c r="E10" s="8" t="s">
        <v>29</v>
      </c>
      <c r="F10" s="8" t="s">
        <v>29</v>
      </c>
      <c r="G10" s="8" t="s">
        <v>104</v>
      </c>
      <c r="H10" s="3"/>
    </row>
    <row r="11" customFormat="false" ht="15" hidden="false" customHeight="false" outlineLevel="0" collapsed="false">
      <c r="A11" s="3" t="n">
        <v>8</v>
      </c>
      <c r="B11" s="3" t="s">
        <v>116</v>
      </c>
      <c r="C11" s="3" t="s">
        <v>117</v>
      </c>
      <c r="D11" s="3" t="s">
        <v>118</v>
      </c>
      <c r="E11" s="8" t="s">
        <v>29</v>
      </c>
      <c r="F11" s="8" t="s">
        <v>29</v>
      </c>
      <c r="G11" s="8" t="s">
        <v>104</v>
      </c>
      <c r="H11" s="3"/>
    </row>
    <row r="12" customFormat="false" ht="15" hidden="false" customHeight="false" outlineLevel="0" collapsed="false">
      <c r="A12" s="3" t="n">
        <v>9</v>
      </c>
      <c r="B12" s="3" t="s">
        <v>119</v>
      </c>
      <c r="C12" s="3" t="s">
        <v>117</v>
      </c>
      <c r="D12" s="3" t="s">
        <v>103</v>
      </c>
      <c r="E12" s="8" t="s">
        <v>29</v>
      </c>
      <c r="F12" s="8" t="s">
        <v>29</v>
      </c>
      <c r="G12" s="8" t="s">
        <v>104</v>
      </c>
      <c r="H12" s="3"/>
    </row>
    <row r="13" customFormat="false" ht="15" hidden="false" customHeight="false" outlineLevel="0" collapsed="false">
      <c r="A13" s="3" t="n">
        <v>10</v>
      </c>
      <c r="B13" s="3" t="s">
        <v>120</v>
      </c>
      <c r="C13" s="3" t="s">
        <v>121</v>
      </c>
      <c r="D13" s="3" t="s">
        <v>103</v>
      </c>
      <c r="E13" s="8" t="s">
        <v>29</v>
      </c>
      <c r="F13" s="8" t="s">
        <v>29</v>
      </c>
      <c r="G13" s="8" t="s">
        <v>104</v>
      </c>
      <c r="H13" s="3"/>
    </row>
    <row r="14" customFormat="false" ht="26.85" hidden="false" customHeight="false" outlineLevel="0" collapsed="false">
      <c r="A14" s="3" t="n">
        <v>11</v>
      </c>
      <c r="B14" s="3" t="s">
        <v>122</v>
      </c>
      <c r="C14" s="3" t="s">
        <v>121</v>
      </c>
      <c r="D14" s="3" t="s">
        <v>103</v>
      </c>
      <c r="E14" s="8" t="s">
        <v>29</v>
      </c>
      <c r="F14" s="8" t="s">
        <v>29</v>
      </c>
      <c r="G14" s="8" t="s">
        <v>104</v>
      </c>
      <c r="H14" s="3"/>
    </row>
    <row r="15" customFormat="false" ht="15" hidden="false" customHeight="false" outlineLevel="0" collapsed="false">
      <c r="A15" s="3" t="n">
        <v>12</v>
      </c>
      <c r="B15" s="3" t="s">
        <v>123</v>
      </c>
      <c r="C15" s="3" t="s">
        <v>121</v>
      </c>
      <c r="D15" s="3" t="s">
        <v>124</v>
      </c>
      <c r="E15" s="8" t="s">
        <v>29</v>
      </c>
      <c r="F15" s="8" t="s">
        <v>29</v>
      </c>
      <c r="G15" s="8" t="s">
        <v>104</v>
      </c>
      <c r="H15" s="3"/>
    </row>
    <row r="16" customFormat="false" ht="26.85" hidden="false" customHeight="false" outlineLevel="0" collapsed="false">
      <c r="A16" s="3" t="n">
        <v>13</v>
      </c>
      <c r="B16" s="3" t="s">
        <v>125</v>
      </c>
      <c r="C16" s="3" t="s">
        <v>126</v>
      </c>
      <c r="D16" s="3" t="s">
        <v>124</v>
      </c>
      <c r="E16" s="8" t="s">
        <v>29</v>
      </c>
      <c r="F16" s="8" t="s">
        <v>29</v>
      </c>
      <c r="G16" s="8" t="s">
        <v>104</v>
      </c>
      <c r="H16" s="3"/>
    </row>
    <row r="17" customFormat="false" ht="15" hidden="false" customHeight="false" outlineLevel="0" collapsed="false">
      <c r="A17" s="3" t="n">
        <v>14</v>
      </c>
      <c r="B17" s="3" t="s">
        <v>127</v>
      </c>
      <c r="C17" s="3" t="s">
        <v>128</v>
      </c>
      <c r="D17" s="3" t="s">
        <v>103</v>
      </c>
      <c r="E17" s="8" t="s">
        <v>29</v>
      </c>
      <c r="F17" s="8" t="s">
        <v>29</v>
      </c>
      <c r="G17" s="8" t="s">
        <v>104</v>
      </c>
      <c r="H17" s="3"/>
    </row>
    <row r="18" customFormat="false" ht="15" hidden="false" customHeight="false" outlineLevel="0" collapsed="false">
      <c r="A18" s="3" t="n">
        <v>15</v>
      </c>
      <c r="B18" s="3" t="s">
        <v>129</v>
      </c>
      <c r="C18" s="3" t="s">
        <v>130</v>
      </c>
      <c r="D18" s="3" t="s">
        <v>131</v>
      </c>
      <c r="E18" s="8" t="s">
        <v>29</v>
      </c>
      <c r="F18" s="8" t="s">
        <v>29</v>
      </c>
      <c r="G18" s="8" t="s">
        <v>104</v>
      </c>
      <c r="H18" s="3"/>
    </row>
    <row r="19" customFormat="false" ht="15" hidden="false" customHeight="false" outlineLevel="0" collapsed="false">
      <c r="A19" s="3" t="n">
        <v>16</v>
      </c>
      <c r="B19" s="3" t="s">
        <v>132</v>
      </c>
      <c r="C19" s="3" t="s">
        <v>130</v>
      </c>
      <c r="D19" s="3" t="s">
        <v>103</v>
      </c>
      <c r="E19" s="8" t="s">
        <v>29</v>
      </c>
      <c r="F19" s="8" t="s">
        <v>29</v>
      </c>
      <c r="G19" s="8" t="s">
        <v>104</v>
      </c>
      <c r="H19" s="3"/>
    </row>
    <row r="20" customFormat="false" ht="15" hidden="false" customHeight="false" outlineLevel="0" collapsed="false">
      <c r="A20" s="3" t="n">
        <v>17</v>
      </c>
      <c r="B20" s="3" t="s">
        <v>133</v>
      </c>
      <c r="C20" s="3" t="s">
        <v>134</v>
      </c>
      <c r="D20" s="3" t="s">
        <v>131</v>
      </c>
      <c r="E20" s="8" t="s">
        <v>29</v>
      </c>
      <c r="F20" s="8" t="s">
        <v>29</v>
      </c>
      <c r="G20" s="8" t="s">
        <v>104</v>
      </c>
      <c r="H20" s="3"/>
    </row>
    <row r="21" customFormat="false" ht="15" hidden="false" customHeight="false" outlineLevel="0" collapsed="false">
      <c r="A21" s="3" t="n">
        <v>18</v>
      </c>
      <c r="B21" s="3" t="s">
        <v>135</v>
      </c>
      <c r="C21" s="3" t="s">
        <v>134</v>
      </c>
      <c r="D21" s="3" t="s">
        <v>103</v>
      </c>
      <c r="E21" s="8" t="s">
        <v>29</v>
      </c>
      <c r="F21" s="8" t="s">
        <v>29</v>
      </c>
      <c r="G21" s="8" t="s">
        <v>104</v>
      </c>
      <c r="H21" s="3"/>
    </row>
    <row r="22" customFormat="false" ht="15" hidden="false" customHeight="false" outlineLevel="0" collapsed="false">
      <c r="A22" s="3" t="n">
        <v>19</v>
      </c>
      <c r="B22" s="3" t="s">
        <v>136</v>
      </c>
      <c r="C22" s="3" t="s">
        <v>137</v>
      </c>
      <c r="D22" s="3" t="s">
        <v>131</v>
      </c>
      <c r="E22" s="8" t="s">
        <v>29</v>
      </c>
      <c r="F22" s="8" t="s">
        <v>29</v>
      </c>
      <c r="G22" s="8" t="s">
        <v>104</v>
      </c>
      <c r="H22" s="3"/>
    </row>
    <row r="23" customFormat="false" ht="15" hidden="false" customHeight="false" outlineLevel="0" collapsed="false">
      <c r="A23" s="3" t="n">
        <v>20</v>
      </c>
      <c r="B23" s="3" t="s">
        <v>138</v>
      </c>
      <c r="C23" s="3" t="s">
        <v>137</v>
      </c>
      <c r="D23" s="3" t="s">
        <v>103</v>
      </c>
      <c r="E23" s="8" t="s">
        <v>29</v>
      </c>
      <c r="F23" s="8" t="s">
        <v>29</v>
      </c>
      <c r="G23" s="8" t="s">
        <v>104</v>
      </c>
      <c r="H23" s="3"/>
    </row>
    <row r="24" customFormat="false" ht="26.85" hidden="false" customHeight="false" outlineLevel="0" collapsed="false">
      <c r="A24" s="3" t="n">
        <v>21</v>
      </c>
      <c r="B24" s="3" t="s">
        <v>139</v>
      </c>
      <c r="C24" s="3" t="s">
        <v>137</v>
      </c>
      <c r="D24" s="3" t="s">
        <v>131</v>
      </c>
      <c r="E24" s="8" t="s">
        <v>29</v>
      </c>
      <c r="F24" s="8" t="s">
        <v>29</v>
      </c>
      <c r="G24" s="8" t="s">
        <v>104</v>
      </c>
      <c r="H24" s="3"/>
    </row>
    <row r="25" customFormat="false" ht="15" hidden="false" customHeight="false" outlineLevel="0" collapsed="false">
      <c r="A25" s="3" t="n">
        <v>22</v>
      </c>
      <c r="B25" s="3" t="s">
        <v>140</v>
      </c>
      <c r="C25" s="3" t="s">
        <v>137</v>
      </c>
      <c r="D25" s="3" t="s">
        <v>131</v>
      </c>
      <c r="E25" s="8" t="s">
        <v>29</v>
      </c>
      <c r="F25" s="8" t="s">
        <v>29</v>
      </c>
      <c r="G25" s="8" t="s">
        <v>104</v>
      </c>
      <c r="H25" s="3"/>
    </row>
    <row r="26" customFormat="false" ht="15" hidden="false" customHeight="false" outlineLevel="0" collapsed="false">
      <c r="A26" s="3" t="n">
        <v>23</v>
      </c>
      <c r="B26" s="3" t="s">
        <v>141</v>
      </c>
      <c r="C26" s="3" t="s">
        <v>142</v>
      </c>
      <c r="D26" s="3" t="s">
        <v>85</v>
      </c>
      <c r="E26" s="8" t="s">
        <v>87</v>
      </c>
      <c r="F26" s="8" t="s">
        <v>87</v>
      </c>
      <c r="G26" s="8" t="s">
        <v>143</v>
      </c>
      <c r="H26" s="3" t="s">
        <v>144</v>
      </c>
    </row>
    <row r="27" customFormat="false" ht="26.85" hidden="false" customHeight="false" outlineLevel="0" collapsed="false">
      <c r="A27" s="3" t="n">
        <v>24</v>
      </c>
      <c r="B27" s="3" t="s">
        <v>145</v>
      </c>
      <c r="C27" s="3" t="s">
        <v>121</v>
      </c>
      <c r="D27" s="3" t="s">
        <v>146</v>
      </c>
      <c r="E27" s="8" t="s">
        <v>29</v>
      </c>
      <c r="F27" s="8" t="s">
        <v>29</v>
      </c>
      <c r="G27" s="8" t="s">
        <v>143</v>
      </c>
      <c r="H27" s="3" t="s">
        <v>147</v>
      </c>
    </row>
    <row r="28" customFormat="false" ht="26.85" hidden="false" customHeight="false" outlineLevel="0" collapsed="false">
      <c r="A28" s="3" t="n">
        <v>25</v>
      </c>
      <c r="B28" s="3" t="s">
        <v>148</v>
      </c>
      <c r="C28" s="3" t="s">
        <v>137</v>
      </c>
      <c r="D28" s="3" t="s">
        <v>85</v>
      </c>
      <c r="E28" s="8" t="s">
        <v>29</v>
      </c>
      <c r="F28" s="8" t="s">
        <v>87</v>
      </c>
      <c r="G28" s="8" t="s">
        <v>143</v>
      </c>
      <c r="H28" s="3" t="s">
        <v>149</v>
      </c>
    </row>
    <row r="29" customFormat="false" ht="15" hidden="false" customHeight="false" outlineLevel="0" collapsed="false">
      <c r="A29" s="3" t="n">
        <v>26</v>
      </c>
      <c r="B29" s="3" t="s">
        <v>150</v>
      </c>
      <c r="C29" s="3" t="s">
        <v>130</v>
      </c>
      <c r="D29" s="3" t="s">
        <v>103</v>
      </c>
      <c r="E29" s="8" t="s">
        <v>29</v>
      </c>
      <c r="F29" s="8" t="s">
        <v>87</v>
      </c>
      <c r="G29" s="8" t="s">
        <v>143</v>
      </c>
      <c r="H29" s="3" t="s">
        <v>151</v>
      </c>
    </row>
    <row r="30" customFormat="false" ht="15" hidden="false" customHeight="false" outlineLevel="0" collapsed="false">
      <c r="A30" s="3" t="n">
        <v>27</v>
      </c>
      <c r="B30" s="3" t="s">
        <v>152</v>
      </c>
      <c r="C30" s="3" t="s">
        <v>134</v>
      </c>
      <c r="D30" s="3" t="s">
        <v>85</v>
      </c>
      <c r="E30" s="8" t="s">
        <v>87</v>
      </c>
      <c r="F30" s="8" t="s">
        <v>87</v>
      </c>
      <c r="G30" s="8" t="s">
        <v>143</v>
      </c>
      <c r="H30" s="3" t="s">
        <v>153</v>
      </c>
    </row>
    <row r="31" customFormat="false" ht="15" hidden="false" customHeight="false" outlineLevel="0" collapsed="false">
      <c r="A31" s="3" t="n">
        <v>28</v>
      </c>
      <c r="B31" s="3" t="s">
        <v>154</v>
      </c>
      <c r="C31" s="3" t="s">
        <v>128</v>
      </c>
      <c r="D31" s="3" t="s">
        <v>103</v>
      </c>
      <c r="E31" s="8" t="s">
        <v>29</v>
      </c>
      <c r="F31" s="8" t="s">
        <v>87</v>
      </c>
      <c r="G31" s="8" t="s">
        <v>143</v>
      </c>
      <c r="H31" s="3" t="s">
        <v>155</v>
      </c>
    </row>
    <row r="33" customFormat="false" ht="15" hidden="false" customHeight="false" outlineLevel="0" collapsed="false">
      <c r="B33" s="7" t="s">
        <v>156</v>
      </c>
      <c r="G33" s="7" t="n">
        <f aca="false">COUNTIF(G4:G31,"Include")</f>
        <v>22</v>
      </c>
    </row>
    <row r="34" customFormat="false" ht="15" hidden="false" customHeight="false" outlineLevel="0" collapsed="false">
      <c r="B34" s="7" t="s">
        <v>157</v>
      </c>
      <c r="G34" s="7" t="n">
        <f aca="false">COUNTIF(G4:G31,"Exclude")</f>
        <v>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7"/>
    <col collapsed="false" customWidth="true" hidden="false" outlineLevel="0" max="4" min="4" style="0" width="11"/>
    <col collapsed="false" customWidth="true" hidden="false" outlineLevel="0" max="5" min="5" style="0" width="10"/>
    <col collapsed="false" customWidth="true" hidden="false" outlineLevel="0" max="6" min="6" style="0" width="22"/>
    <col collapsed="false" customWidth="true" hidden="false" outlineLevel="0" max="7" min="7" style="0" width="30"/>
    <col collapsed="false" customWidth="true" hidden="false" outlineLevel="0" max="8" min="8" style="0" width="20"/>
    <col collapsed="false" customWidth="true" hidden="false" outlineLevel="0" max="9" min="9" style="0" width="9"/>
    <col collapsed="false" customWidth="true" hidden="false" outlineLevel="0" max="10" min="10" style="0" width="26"/>
  </cols>
  <sheetData>
    <row r="1" customFormat="false" ht="18.55" hidden="false" customHeight="false" outlineLevel="0" collapsed="false">
      <c r="A1" s="1" t="s">
        <v>158</v>
      </c>
      <c r="B1" s="1"/>
      <c r="C1" s="1"/>
      <c r="D1" s="1"/>
      <c r="E1" s="1"/>
      <c r="F1" s="1"/>
      <c r="G1" s="1"/>
      <c r="H1" s="1"/>
      <c r="I1" s="1"/>
      <c r="J1" s="1"/>
    </row>
    <row r="2" customFormat="false" ht="15" hidden="false" customHeight="true" outlineLevel="0" collapsed="false">
      <c r="A2" s="4" t="s">
        <v>159</v>
      </c>
      <c r="B2" s="4"/>
      <c r="C2" s="4"/>
      <c r="D2" s="4"/>
      <c r="E2" s="4"/>
      <c r="F2" s="4"/>
      <c r="G2" s="4"/>
      <c r="H2" s="4"/>
      <c r="I2" s="4"/>
      <c r="J2" s="4"/>
    </row>
    <row r="3" customFormat="false" ht="15" hidden="false" customHeight="false" outlineLevel="0" collapsed="false">
      <c r="A3" s="5" t="s">
        <v>160</v>
      </c>
      <c r="B3" s="5" t="s">
        <v>161</v>
      </c>
      <c r="C3" s="5" t="s">
        <v>95</v>
      </c>
      <c r="D3" s="5" t="s">
        <v>162</v>
      </c>
      <c r="E3" s="5" t="s">
        <v>163</v>
      </c>
      <c r="F3" s="5" t="s">
        <v>164</v>
      </c>
      <c r="G3" s="5" t="s">
        <v>165</v>
      </c>
      <c r="H3" s="5" t="s">
        <v>166</v>
      </c>
      <c r="I3" s="5" t="s">
        <v>167</v>
      </c>
      <c r="J3" s="5" t="s">
        <v>168</v>
      </c>
    </row>
    <row r="4" customFormat="false" ht="26.85" hidden="false" customHeight="false" outlineLevel="0" collapsed="false">
      <c r="A4" s="6" t="s">
        <v>169</v>
      </c>
      <c r="B4" s="6" t="s">
        <v>101</v>
      </c>
      <c r="C4" s="9" t="n">
        <v>1997</v>
      </c>
      <c r="D4" s="8" t="s">
        <v>170</v>
      </c>
      <c r="E4" s="6" t="s">
        <v>103</v>
      </c>
      <c r="F4" s="3" t="s">
        <v>171</v>
      </c>
      <c r="G4" s="3" t="s">
        <v>172</v>
      </c>
      <c r="H4" s="3" t="s">
        <v>173</v>
      </c>
      <c r="I4" s="8" t="s">
        <v>29</v>
      </c>
      <c r="J4" s="6" t="s">
        <v>174</v>
      </c>
    </row>
    <row r="5" customFormat="false" ht="26.85" hidden="false" customHeight="false" outlineLevel="0" collapsed="false">
      <c r="A5" s="6" t="s">
        <v>175</v>
      </c>
      <c r="B5" s="6" t="s">
        <v>105</v>
      </c>
      <c r="C5" s="9" t="n">
        <v>2001</v>
      </c>
      <c r="D5" s="8" t="s">
        <v>170</v>
      </c>
      <c r="E5" s="6" t="s">
        <v>103</v>
      </c>
      <c r="F5" s="3" t="s">
        <v>176</v>
      </c>
      <c r="G5" s="3" t="s">
        <v>177</v>
      </c>
      <c r="H5" s="3" t="s">
        <v>178</v>
      </c>
      <c r="I5" s="8" t="s">
        <v>29</v>
      </c>
      <c r="J5" s="6" t="s">
        <v>179</v>
      </c>
    </row>
    <row r="6" customFormat="false" ht="26.85" hidden="false" customHeight="false" outlineLevel="0" collapsed="false">
      <c r="A6" s="6" t="s">
        <v>180</v>
      </c>
      <c r="B6" s="6" t="s">
        <v>107</v>
      </c>
      <c r="C6" s="9" t="n">
        <v>2007</v>
      </c>
      <c r="D6" s="8" t="s">
        <v>170</v>
      </c>
      <c r="E6" s="6" t="s">
        <v>103</v>
      </c>
      <c r="F6" s="3" t="s">
        <v>181</v>
      </c>
      <c r="G6" s="3" t="s">
        <v>182</v>
      </c>
      <c r="H6" s="3" t="s">
        <v>183</v>
      </c>
      <c r="I6" s="8" t="s">
        <v>29</v>
      </c>
      <c r="J6" s="6" t="s">
        <v>184</v>
      </c>
    </row>
    <row r="7" customFormat="false" ht="26.85" hidden="false" customHeight="false" outlineLevel="0" collapsed="false">
      <c r="A7" s="6" t="s">
        <v>185</v>
      </c>
      <c r="B7" s="6" t="s">
        <v>109</v>
      </c>
      <c r="C7" s="9" t="n">
        <v>2013</v>
      </c>
      <c r="D7" s="8" t="s">
        <v>170</v>
      </c>
      <c r="E7" s="6" t="s">
        <v>103</v>
      </c>
      <c r="F7" s="3" t="s">
        <v>186</v>
      </c>
      <c r="G7" s="3" t="s">
        <v>187</v>
      </c>
      <c r="H7" s="3" t="s">
        <v>188</v>
      </c>
      <c r="I7" s="8" t="s">
        <v>29</v>
      </c>
      <c r="J7" s="6" t="s">
        <v>189</v>
      </c>
    </row>
    <row r="8" customFormat="false" ht="15" hidden="false" customHeight="false" outlineLevel="0" collapsed="false">
      <c r="A8" s="6" t="s">
        <v>190</v>
      </c>
      <c r="B8" s="6" t="s">
        <v>111</v>
      </c>
      <c r="C8" s="9" t="n">
        <v>2013</v>
      </c>
      <c r="D8" s="8" t="s">
        <v>170</v>
      </c>
      <c r="E8" s="6" t="s">
        <v>112</v>
      </c>
      <c r="F8" s="3" t="s">
        <v>191</v>
      </c>
      <c r="G8" s="3" t="s">
        <v>192</v>
      </c>
      <c r="H8" s="3" t="s">
        <v>193</v>
      </c>
      <c r="I8" s="8" t="s">
        <v>29</v>
      </c>
      <c r="J8" s="6" t="s">
        <v>194</v>
      </c>
    </row>
    <row r="9" customFormat="false" ht="15" hidden="false" customHeight="false" outlineLevel="0" collapsed="false">
      <c r="A9" s="6" t="s">
        <v>195</v>
      </c>
      <c r="B9" s="6" t="s">
        <v>113</v>
      </c>
      <c r="C9" s="9" t="n">
        <v>2016</v>
      </c>
      <c r="D9" s="8" t="s">
        <v>170</v>
      </c>
      <c r="E9" s="6" t="s">
        <v>103</v>
      </c>
      <c r="F9" s="3" t="s">
        <v>196</v>
      </c>
      <c r="G9" s="3" t="s">
        <v>197</v>
      </c>
      <c r="H9" s="3" t="s">
        <v>198</v>
      </c>
      <c r="I9" s="8" t="s">
        <v>29</v>
      </c>
      <c r="J9" s="6" t="s">
        <v>199</v>
      </c>
    </row>
    <row r="10" customFormat="false" ht="26.85" hidden="false" customHeight="false" outlineLevel="0" collapsed="false">
      <c r="A10" s="6" t="s">
        <v>200</v>
      </c>
      <c r="B10" s="6" t="s">
        <v>115</v>
      </c>
      <c r="C10" s="9" t="n">
        <v>2016</v>
      </c>
      <c r="D10" s="8" t="s">
        <v>170</v>
      </c>
      <c r="E10" s="6" t="s">
        <v>103</v>
      </c>
      <c r="F10" s="3" t="s">
        <v>201</v>
      </c>
      <c r="G10" s="3" t="s">
        <v>202</v>
      </c>
      <c r="H10" s="3" t="s">
        <v>203</v>
      </c>
      <c r="I10" s="8" t="s">
        <v>29</v>
      </c>
      <c r="J10" s="6" t="s">
        <v>204</v>
      </c>
    </row>
    <row r="11" customFormat="false" ht="26.85" hidden="false" customHeight="false" outlineLevel="0" collapsed="false">
      <c r="A11" s="6" t="s">
        <v>205</v>
      </c>
      <c r="B11" s="6" t="s">
        <v>206</v>
      </c>
      <c r="C11" s="9" t="n">
        <v>2017</v>
      </c>
      <c r="D11" s="8" t="s">
        <v>170</v>
      </c>
      <c r="E11" s="6" t="s">
        <v>118</v>
      </c>
      <c r="F11" s="3" t="s">
        <v>207</v>
      </c>
      <c r="G11" s="3" t="s">
        <v>208</v>
      </c>
      <c r="H11" s="3" t="s">
        <v>209</v>
      </c>
      <c r="I11" s="8" t="s">
        <v>29</v>
      </c>
      <c r="J11" s="6" t="s">
        <v>210</v>
      </c>
    </row>
    <row r="12" customFormat="false" ht="15" hidden="false" customHeight="false" outlineLevel="0" collapsed="false">
      <c r="A12" s="6" t="s">
        <v>211</v>
      </c>
      <c r="B12" s="6" t="s">
        <v>119</v>
      </c>
      <c r="C12" s="9" t="n">
        <v>2017</v>
      </c>
      <c r="D12" s="8" t="s">
        <v>170</v>
      </c>
      <c r="E12" s="6" t="s">
        <v>103</v>
      </c>
      <c r="F12" s="3" t="s">
        <v>212</v>
      </c>
      <c r="G12" s="3" t="s">
        <v>213</v>
      </c>
      <c r="H12" s="3" t="s">
        <v>214</v>
      </c>
      <c r="I12" s="8" t="s">
        <v>29</v>
      </c>
      <c r="J12" s="6" t="s">
        <v>215</v>
      </c>
    </row>
    <row r="13" customFormat="false" ht="15" hidden="false" customHeight="false" outlineLevel="0" collapsed="false">
      <c r="A13" s="6" t="s">
        <v>216</v>
      </c>
      <c r="B13" s="6" t="s">
        <v>120</v>
      </c>
      <c r="C13" s="9" t="n">
        <v>2018</v>
      </c>
      <c r="D13" s="8" t="s">
        <v>170</v>
      </c>
      <c r="E13" s="6" t="s">
        <v>103</v>
      </c>
      <c r="F13" s="3" t="s">
        <v>201</v>
      </c>
      <c r="G13" s="3" t="s">
        <v>217</v>
      </c>
      <c r="H13" s="3" t="s">
        <v>218</v>
      </c>
      <c r="I13" s="8" t="s">
        <v>29</v>
      </c>
      <c r="J13" s="6" t="s">
        <v>219</v>
      </c>
    </row>
    <row r="14" customFormat="false" ht="26.85" hidden="false" customHeight="false" outlineLevel="0" collapsed="false">
      <c r="A14" s="6" t="s">
        <v>220</v>
      </c>
      <c r="B14" s="6" t="s">
        <v>122</v>
      </c>
      <c r="C14" s="9" t="n">
        <v>2018</v>
      </c>
      <c r="D14" s="8" t="s">
        <v>170</v>
      </c>
      <c r="E14" s="6" t="s">
        <v>103</v>
      </c>
      <c r="F14" s="3" t="s">
        <v>201</v>
      </c>
      <c r="G14" s="3" t="s">
        <v>221</v>
      </c>
      <c r="H14" s="3" t="s">
        <v>222</v>
      </c>
      <c r="I14" s="8" t="s">
        <v>29</v>
      </c>
      <c r="J14" s="6" t="s">
        <v>223</v>
      </c>
    </row>
    <row r="15" customFormat="false" ht="26.85" hidden="false" customHeight="false" outlineLevel="0" collapsed="false">
      <c r="A15" s="6" t="s">
        <v>224</v>
      </c>
      <c r="B15" s="6" t="s">
        <v>225</v>
      </c>
      <c r="C15" s="9" t="n">
        <v>2018</v>
      </c>
      <c r="D15" s="8" t="s">
        <v>170</v>
      </c>
      <c r="E15" s="6" t="s">
        <v>124</v>
      </c>
      <c r="F15" s="3" t="s">
        <v>226</v>
      </c>
      <c r="G15" s="3" t="s">
        <v>227</v>
      </c>
      <c r="H15" s="3" t="s">
        <v>228</v>
      </c>
      <c r="I15" s="8" t="s">
        <v>29</v>
      </c>
      <c r="J15" s="6" t="s">
        <v>229</v>
      </c>
    </row>
    <row r="16" customFormat="false" ht="26.85" hidden="false" customHeight="false" outlineLevel="0" collapsed="false">
      <c r="A16" s="6" t="s">
        <v>230</v>
      </c>
      <c r="B16" s="6" t="s">
        <v>231</v>
      </c>
      <c r="C16" s="9" t="n">
        <v>2019</v>
      </c>
      <c r="D16" s="8" t="s">
        <v>170</v>
      </c>
      <c r="E16" s="6" t="s">
        <v>124</v>
      </c>
      <c r="F16" s="3" t="s">
        <v>226</v>
      </c>
      <c r="G16" s="3" t="s">
        <v>232</v>
      </c>
      <c r="H16" s="3" t="s">
        <v>233</v>
      </c>
      <c r="I16" s="8" t="s">
        <v>29</v>
      </c>
      <c r="J16" s="6" t="s">
        <v>234</v>
      </c>
    </row>
    <row r="17" customFormat="false" ht="26.85" hidden="false" customHeight="false" outlineLevel="0" collapsed="false">
      <c r="A17" s="6" t="s">
        <v>235</v>
      </c>
      <c r="B17" s="6" t="s">
        <v>127</v>
      </c>
      <c r="C17" s="9" t="n">
        <v>2020</v>
      </c>
      <c r="D17" s="8" t="s">
        <v>170</v>
      </c>
      <c r="E17" s="6" t="s">
        <v>103</v>
      </c>
      <c r="F17" s="3" t="s">
        <v>236</v>
      </c>
      <c r="G17" s="3" t="s">
        <v>237</v>
      </c>
      <c r="H17" s="3" t="s">
        <v>238</v>
      </c>
      <c r="I17" s="8" t="s">
        <v>29</v>
      </c>
      <c r="J17" s="6" t="s">
        <v>239</v>
      </c>
    </row>
    <row r="18" customFormat="false" ht="26.85" hidden="false" customHeight="false" outlineLevel="0" collapsed="false">
      <c r="A18" s="6" t="s">
        <v>240</v>
      </c>
      <c r="B18" s="6" t="s">
        <v>241</v>
      </c>
      <c r="C18" s="9" t="n">
        <v>2021</v>
      </c>
      <c r="D18" s="8" t="s">
        <v>242</v>
      </c>
      <c r="E18" s="6" t="s">
        <v>131</v>
      </c>
      <c r="F18" s="3" t="s">
        <v>243</v>
      </c>
      <c r="G18" s="3" t="s">
        <v>244</v>
      </c>
      <c r="H18" s="3" t="s">
        <v>245</v>
      </c>
      <c r="I18" s="8" t="s">
        <v>29</v>
      </c>
      <c r="J18" s="6" t="s">
        <v>246</v>
      </c>
    </row>
    <row r="19" customFormat="false" ht="26.85" hidden="false" customHeight="false" outlineLevel="0" collapsed="false">
      <c r="A19" s="6" t="s">
        <v>247</v>
      </c>
      <c r="B19" s="6" t="s">
        <v>132</v>
      </c>
      <c r="C19" s="9" t="n">
        <v>2021</v>
      </c>
      <c r="D19" s="8" t="s">
        <v>170</v>
      </c>
      <c r="E19" s="6" t="s">
        <v>103</v>
      </c>
      <c r="F19" s="3" t="s">
        <v>212</v>
      </c>
      <c r="G19" s="3" t="s">
        <v>248</v>
      </c>
      <c r="H19" s="3" t="s">
        <v>249</v>
      </c>
      <c r="I19" s="8" t="s">
        <v>29</v>
      </c>
      <c r="J19" s="6" t="s">
        <v>250</v>
      </c>
    </row>
    <row r="20" customFormat="false" ht="26.85" hidden="false" customHeight="false" outlineLevel="0" collapsed="false">
      <c r="A20" s="6" t="s">
        <v>251</v>
      </c>
      <c r="B20" s="6" t="s">
        <v>241</v>
      </c>
      <c r="C20" s="9" t="n">
        <v>2022</v>
      </c>
      <c r="D20" s="8" t="s">
        <v>242</v>
      </c>
      <c r="E20" s="6" t="s">
        <v>131</v>
      </c>
      <c r="F20" s="3" t="s">
        <v>243</v>
      </c>
      <c r="G20" s="3" t="s">
        <v>252</v>
      </c>
      <c r="H20" s="3" t="s">
        <v>253</v>
      </c>
      <c r="I20" s="8" t="s">
        <v>29</v>
      </c>
      <c r="J20" s="6" t="s">
        <v>246</v>
      </c>
    </row>
    <row r="21" customFormat="false" ht="26.85" hidden="false" customHeight="false" outlineLevel="0" collapsed="false">
      <c r="A21" s="6" t="s">
        <v>68</v>
      </c>
      <c r="B21" s="6" t="s">
        <v>135</v>
      </c>
      <c r="C21" s="9" t="n">
        <v>2022</v>
      </c>
      <c r="D21" s="8" t="s">
        <v>170</v>
      </c>
      <c r="E21" s="6" t="s">
        <v>103</v>
      </c>
      <c r="F21" s="3" t="s">
        <v>196</v>
      </c>
      <c r="G21" s="3" t="s">
        <v>254</v>
      </c>
      <c r="H21" s="3" t="s">
        <v>255</v>
      </c>
      <c r="I21" s="8" t="s">
        <v>29</v>
      </c>
      <c r="J21" s="6" t="s">
        <v>256</v>
      </c>
    </row>
    <row r="22" customFormat="false" ht="15" hidden="false" customHeight="false" outlineLevel="0" collapsed="false">
      <c r="A22" s="6" t="s">
        <v>136</v>
      </c>
      <c r="B22" s="6" t="s">
        <v>241</v>
      </c>
      <c r="C22" s="9" t="n">
        <v>2023</v>
      </c>
      <c r="D22" s="8" t="s">
        <v>257</v>
      </c>
      <c r="E22" s="6" t="s">
        <v>131</v>
      </c>
      <c r="F22" s="3" t="s">
        <v>258</v>
      </c>
      <c r="G22" s="3" t="s">
        <v>259</v>
      </c>
      <c r="H22" s="3" t="s">
        <v>260</v>
      </c>
      <c r="I22" s="8" t="s">
        <v>29</v>
      </c>
      <c r="J22" s="6" t="s">
        <v>246</v>
      </c>
    </row>
    <row r="23" customFormat="false" ht="26.85" hidden="false" customHeight="false" outlineLevel="0" collapsed="false">
      <c r="A23" s="6" t="s">
        <v>261</v>
      </c>
      <c r="B23" s="6" t="s">
        <v>138</v>
      </c>
      <c r="C23" s="9" t="n">
        <v>2023</v>
      </c>
      <c r="D23" s="8" t="s">
        <v>262</v>
      </c>
      <c r="E23" s="6" t="s">
        <v>103</v>
      </c>
      <c r="F23" s="3" t="s">
        <v>263</v>
      </c>
      <c r="G23" s="3" t="s">
        <v>264</v>
      </c>
      <c r="H23" s="3" t="s">
        <v>265</v>
      </c>
      <c r="I23" s="8" t="s">
        <v>29</v>
      </c>
      <c r="J23" s="6" t="s">
        <v>266</v>
      </c>
    </row>
    <row r="24" customFormat="false" ht="26.85" hidden="false" customHeight="false" outlineLevel="0" collapsed="false">
      <c r="A24" s="6" t="s">
        <v>267</v>
      </c>
      <c r="B24" s="6" t="s">
        <v>268</v>
      </c>
      <c r="C24" s="9" t="n">
        <v>2023</v>
      </c>
      <c r="D24" s="8" t="s">
        <v>242</v>
      </c>
      <c r="E24" s="6" t="s">
        <v>131</v>
      </c>
      <c r="F24" s="3" t="s">
        <v>269</v>
      </c>
      <c r="G24" s="3" t="s">
        <v>270</v>
      </c>
      <c r="H24" s="3" t="s">
        <v>271</v>
      </c>
      <c r="I24" s="8" t="s">
        <v>29</v>
      </c>
      <c r="J24" s="6" t="s">
        <v>272</v>
      </c>
    </row>
    <row r="25" customFormat="false" ht="26.85" hidden="false" customHeight="false" outlineLevel="0" collapsed="false">
      <c r="A25" s="6" t="s">
        <v>273</v>
      </c>
      <c r="B25" s="6" t="s">
        <v>274</v>
      </c>
      <c r="C25" s="9" t="n">
        <v>2023</v>
      </c>
      <c r="D25" s="8" t="s">
        <v>170</v>
      </c>
      <c r="E25" s="6" t="s">
        <v>131</v>
      </c>
      <c r="F25" s="3" t="s">
        <v>275</v>
      </c>
      <c r="G25" s="3" t="s">
        <v>276</v>
      </c>
      <c r="H25" s="3" t="s">
        <v>277</v>
      </c>
      <c r="I25" s="8" t="s">
        <v>29</v>
      </c>
      <c r="J25" s="6" t="s">
        <v>278</v>
      </c>
    </row>
    <row r="27" customFormat="false" ht="15" hidden="false" customHeight="false" outlineLevel="0" collapsed="false">
      <c r="A27" s="7" t="s">
        <v>279</v>
      </c>
      <c r="C27" s="7" t="n">
        <f aca="false">COUNTA(A4:A25)</f>
        <v>22</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4"/>
    <col collapsed="false" customWidth="true" hidden="false" outlineLevel="0" max="4" min="4" style="0" width="28"/>
    <col collapsed="false" customWidth="true" hidden="false" outlineLevel="0" max="5" min="5" style="0" width="12"/>
    <col collapsed="false" customWidth="true" hidden="false" outlineLevel="0" max="7" min="6" style="0" width="18"/>
    <col collapsed="false" customWidth="true" hidden="false" outlineLevel="0" max="8" min="8" style="0" width="10"/>
  </cols>
  <sheetData>
    <row r="1" customFormat="false" ht="18.55" hidden="false" customHeight="false" outlineLevel="0" collapsed="false">
      <c r="A1" s="1" t="s">
        <v>280</v>
      </c>
      <c r="B1" s="1"/>
      <c r="C1" s="1"/>
      <c r="D1" s="1"/>
      <c r="E1" s="1"/>
      <c r="F1" s="1"/>
      <c r="G1" s="1"/>
      <c r="H1" s="1"/>
    </row>
    <row r="2" customFormat="false" ht="15" hidden="false" customHeight="true" outlineLevel="0" collapsed="false">
      <c r="A2" s="4" t="s">
        <v>281</v>
      </c>
      <c r="B2" s="4"/>
      <c r="C2" s="4"/>
      <c r="D2" s="4"/>
      <c r="E2" s="4"/>
      <c r="F2" s="4"/>
      <c r="G2" s="4"/>
      <c r="H2" s="4"/>
    </row>
    <row r="3" customFormat="false" ht="26.85" hidden="false" customHeight="false" outlineLevel="0" collapsed="false">
      <c r="A3" s="5" t="s">
        <v>282</v>
      </c>
      <c r="B3" s="5" t="s">
        <v>283</v>
      </c>
      <c r="C3" s="5" t="s">
        <v>284</v>
      </c>
      <c r="D3" s="5" t="s">
        <v>285</v>
      </c>
      <c r="E3" s="5" t="s">
        <v>286</v>
      </c>
      <c r="F3" s="5" t="s">
        <v>287</v>
      </c>
      <c r="G3" s="5" t="s">
        <v>288</v>
      </c>
      <c r="H3" s="5" t="s">
        <v>289</v>
      </c>
    </row>
    <row r="4" customFormat="false" ht="26.85" hidden="false" customHeight="false" outlineLevel="0" collapsed="false">
      <c r="A4" s="8" t="n">
        <v>1</v>
      </c>
      <c r="B4" s="6" t="s">
        <v>290</v>
      </c>
      <c r="C4" s="3" t="s">
        <v>291</v>
      </c>
      <c r="D4" s="3" t="s">
        <v>292</v>
      </c>
      <c r="E4" s="8" t="s">
        <v>293</v>
      </c>
      <c r="F4" s="6" t="s">
        <v>294</v>
      </c>
      <c r="G4" s="6" t="s">
        <v>295</v>
      </c>
      <c r="H4" s="6" t="s">
        <v>296</v>
      </c>
    </row>
    <row r="5" customFormat="false" ht="15" hidden="false" customHeight="false" outlineLevel="0" collapsed="false">
      <c r="A5" s="8" t="n">
        <v>2</v>
      </c>
      <c r="B5" s="6" t="s">
        <v>297</v>
      </c>
      <c r="C5" s="3" t="s">
        <v>298</v>
      </c>
      <c r="D5" s="3" t="s">
        <v>299</v>
      </c>
      <c r="E5" s="8" t="s">
        <v>293</v>
      </c>
      <c r="F5" s="6" t="s">
        <v>300</v>
      </c>
      <c r="G5" s="6" t="s">
        <v>301</v>
      </c>
      <c r="H5" s="6" t="s">
        <v>296</v>
      </c>
    </row>
    <row r="6" customFormat="false" ht="26.85" hidden="false" customHeight="false" outlineLevel="0" collapsed="false">
      <c r="A6" s="8" t="n">
        <v>3</v>
      </c>
      <c r="B6" s="6" t="s">
        <v>302</v>
      </c>
      <c r="C6" s="3" t="s">
        <v>303</v>
      </c>
      <c r="D6" s="3" t="s">
        <v>304</v>
      </c>
      <c r="E6" s="8" t="s">
        <v>293</v>
      </c>
      <c r="F6" s="6" t="s">
        <v>305</v>
      </c>
      <c r="G6" s="6" t="s">
        <v>306</v>
      </c>
      <c r="H6" s="6" t="s">
        <v>296</v>
      </c>
    </row>
    <row r="7" customFormat="false" ht="26.85" hidden="false" customHeight="false" outlineLevel="0" collapsed="false">
      <c r="A7" s="8" t="n">
        <v>4</v>
      </c>
      <c r="B7" s="6" t="s">
        <v>302</v>
      </c>
      <c r="C7" s="3" t="s">
        <v>307</v>
      </c>
      <c r="D7" s="3" t="s">
        <v>308</v>
      </c>
      <c r="E7" s="8" t="s">
        <v>309</v>
      </c>
      <c r="F7" s="6" t="s">
        <v>310</v>
      </c>
      <c r="G7" s="6" t="s">
        <v>311</v>
      </c>
      <c r="H7" s="6" t="s">
        <v>296</v>
      </c>
    </row>
    <row r="8" customFormat="false" ht="26.85" hidden="false" customHeight="false" outlineLevel="0" collapsed="false">
      <c r="A8" s="8" t="n">
        <v>5</v>
      </c>
      <c r="B8" s="6" t="s">
        <v>289</v>
      </c>
      <c r="C8" s="3" t="s">
        <v>312</v>
      </c>
      <c r="D8" s="3" t="s">
        <v>313</v>
      </c>
      <c r="E8" s="8" t="s">
        <v>314</v>
      </c>
      <c r="F8" s="6" t="s">
        <v>315</v>
      </c>
      <c r="G8" s="6" t="s">
        <v>316</v>
      </c>
      <c r="H8" s="6" t="s">
        <v>296</v>
      </c>
    </row>
    <row r="9" customFormat="false" ht="15" hidden="false" customHeight="false" outlineLevel="0" collapsed="false">
      <c r="A9" s="8" t="n">
        <v>6</v>
      </c>
      <c r="B9" s="6" t="s">
        <v>317</v>
      </c>
      <c r="C9" s="3" t="s">
        <v>318</v>
      </c>
      <c r="D9" s="3" t="s">
        <v>319</v>
      </c>
      <c r="E9" s="8" t="s">
        <v>320</v>
      </c>
      <c r="F9" s="6" t="s">
        <v>321</v>
      </c>
      <c r="G9" s="6" t="s">
        <v>322</v>
      </c>
      <c r="H9" s="6" t="s">
        <v>296</v>
      </c>
    </row>
    <row r="10" customFormat="false" ht="15" hidden="false" customHeight="false" outlineLevel="0" collapsed="false">
      <c r="A10" s="8" t="n">
        <v>7</v>
      </c>
      <c r="B10" s="6" t="s">
        <v>323</v>
      </c>
      <c r="C10" s="3" t="s">
        <v>324</v>
      </c>
      <c r="D10" s="3" t="s">
        <v>325</v>
      </c>
      <c r="E10" s="8" t="s">
        <v>293</v>
      </c>
      <c r="F10" s="6" t="s">
        <v>326</v>
      </c>
      <c r="G10" s="6" t="s">
        <v>327</v>
      </c>
      <c r="H10" s="6" t="s">
        <v>296</v>
      </c>
    </row>
    <row r="11" customFormat="false" ht="15" hidden="false" customHeight="false" outlineLevel="0" collapsed="false">
      <c r="A11" s="8" t="n">
        <v>8</v>
      </c>
      <c r="B11" s="6" t="s">
        <v>328</v>
      </c>
      <c r="C11" s="3" t="s">
        <v>329</v>
      </c>
      <c r="D11" s="3" t="s">
        <v>330</v>
      </c>
      <c r="E11" s="8" t="s">
        <v>331</v>
      </c>
      <c r="F11" s="6" t="s">
        <v>332</v>
      </c>
      <c r="G11" s="6" t="s">
        <v>333</v>
      </c>
      <c r="H11" s="6" t="s">
        <v>296</v>
      </c>
    </row>
    <row r="12" customFormat="false" ht="15" hidden="false" customHeight="false" outlineLevel="0" collapsed="false">
      <c r="A12" s="8" t="n">
        <v>9</v>
      </c>
      <c r="B12" s="6" t="s">
        <v>334</v>
      </c>
      <c r="C12" s="3" t="s">
        <v>335</v>
      </c>
      <c r="D12" s="3" t="s">
        <v>336</v>
      </c>
      <c r="E12" s="8" t="s">
        <v>337</v>
      </c>
      <c r="F12" s="6" t="s">
        <v>338</v>
      </c>
      <c r="G12" s="6" t="s">
        <v>339</v>
      </c>
      <c r="H12" s="6" t="s">
        <v>296</v>
      </c>
    </row>
    <row r="13" customFormat="false" ht="15" hidden="false" customHeight="false" outlineLevel="0" collapsed="false">
      <c r="A13" s="8" t="n">
        <v>10</v>
      </c>
      <c r="B13" s="6" t="s">
        <v>340</v>
      </c>
      <c r="C13" s="3" t="s">
        <v>303</v>
      </c>
      <c r="D13" s="3" t="s">
        <v>341</v>
      </c>
      <c r="E13" s="8" t="s">
        <v>293</v>
      </c>
      <c r="F13" s="6" t="s">
        <v>305</v>
      </c>
      <c r="G13" s="6" t="s">
        <v>342</v>
      </c>
      <c r="H13" s="6" t="s">
        <v>296</v>
      </c>
    </row>
    <row r="14" customFormat="false" ht="15" hidden="false" customHeight="false" outlineLevel="0" collapsed="false">
      <c r="A14" s="8" t="n">
        <v>11</v>
      </c>
      <c r="B14" s="6" t="s">
        <v>343</v>
      </c>
      <c r="C14" s="3" t="s">
        <v>344</v>
      </c>
      <c r="D14" s="3" t="s">
        <v>345</v>
      </c>
      <c r="E14" s="8" t="s">
        <v>293</v>
      </c>
      <c r="F14" s="6" t="s">
        <v>346</v>
      </c>
      <c r="G14" s="6" t="s">
        <v>347</v>
      </c>
      <c r="H14" s="6" t="s">
        <v>296</v>
      </c>
    </row>
    <row r="15" customFormat="false" ht="15" hidden="false" customHeight="false" outlineLevel="0" collapsed="false">
      <c r="A15" s="8" t="n">
        <v>12</v>
      </c>
      <c r="B15" s="6" t="s">
        <v>348</v>
      </c>
      <c r="C15" s="3" t="s">
        <v>349</v>
      </c>
      <c r="D15" s="3" t="s">
        <v>350</v>
      </c>
      <c r="E15" s="8" t="s">
        <v>293</v>
      </c>
      <c r="F15" s="6" t="s">
        <v>305</v>
      </c>
      <c r="G15" s="6" t="s">
        <v>351</v>
      </c>
      <c r="H15" s="6" t="s">
        <v>296</v>
      </c>
    </row>
    <row r="17" customFormat="false" ht="15" hidden="false" customHeight="false" outlineLevel="0" collapsed="false">
      <c r="B17" s="7" t="s">
        <v>352</v>
      </c>
      <c r="E17" s="7" t="n">
        <f aca="false">COUNTIF(H4:H15,"Done")</f>
        <v>12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6" min="6" style="0" width="10"/>
    <col collapsed="false" customWidth="true" hidden="false" outlineLevel="0" max="7" min="7" style="0" width="9"/>
    <col collapsed="false" customWidth="true" hidden="false" outlineLevel="0" max="9" min="8" style="0" width="8"/>
    <col collapsed="false" customWidth="true" hidden="false" outlineLevel="0" max="10" min="10" style="0" width="7"/>
    <col collapsed="false" customWidth="true" hidden="false" outlineLevel="0" max="12" min="12" style="0" width="22"/>
    <col collapsed="false" customWidth="true" hidden="false" outlineLevel="0" max="13" min="13" style="0" width="14"/>
    <col collapsed="false" customWidth="true" hidden="false" outlineLevel="0" max="15" min="15" style="0" width="18"/>
    <col collapsed="false" customWidth="true" hidden="false" outlineLevel="0" max="16" min="16" style="0" width="10"/>
  </cols>
  <sheetData>
    <row r="1" customFormat="false" ht="18.55" hidden="false" customHeight="false" outlineLevel="0" collapsed="false">
      <c r="A1" s="1" t="s">
        <v>353</v>
      </c>
      <c r="B1" s="1"/>
      <c r="C1" s="1"/>
      <c r="D1" s="1"/>
      <c r="E1" s="1"/>
      <c r="F1" s="1"/>
      <c r="G1" s="1"/>
      <c r="H1" s="1"/>
      <c r="I1" s="1"/>
      <c r="J1" s="1"/>
      <c r="K1" s="1"/>
      <c r="L1" s="1"/>
      <c r="M1" s="1"/>
    </row>
    <row r="2" customFormat="false" ht="15" hidden="false" customHeight="true" outlineLevel="0" collapsed="false">
      <c r="A2" s="4" t="s">
        <v>354</v>
      </c>
      <c r="B2" s="4"/>
      <c r="C2" s="4"/>
      <c r="D2" s="4"/>
      <c r="E2" s="4"/>
      <c r="F2" s="4"/>
      <c r="G2" s="4"/>
      <c r="H2" s="4"/>
      <c r="I2" s="4"/>
      <c r="J2" s="4"/>
      <c r="K2" s="4"/>
      <c r="L2" s="4"/>
      <c r="M2" s="4"/>
    </row>
    <row r="3" customFormat="false" ht="26.85" hidden="false" customHeight="false" outlineLevel="0" collapsed="false">
      <c r="A3" s="5" t="s">
        <v>355</v>
      </c>
      <c r="B3" s="5" t="s">
        <v>356</v>
      </c>
      <c r="C3" s="5" t="s">
        <v>357</v>
      </c>
      <c r="D3" s="5" t="s">
        <v>358</v>
      </c>
      <c r="E3" s="5" t="s">
        <v>289</v>
      </c>
      <c r="F3" s="5" t="s">
        <v>359</v>
      </c>
      <c r="G3" s="5" t="s">
        <v>360</v>
      </c>
      <c r="H3" s="5" t="s">
        <v>361</v>
      </c>
      <c r="I3" s="5" t="s">
        <v>362</v>
      </c>
      <c r="J3" s="5" t="s">
        <v>363</v>
      </c>
      <c r="L3" s="10" t="s">
        <v>364</v>
      </c>
      <c r="M3" s="10" t="s">
        <v>365</v>
      </c>
      <c r="O3" s="10" t="s">
        <v>366</v>
      </c>
      <c r="P3" s="11"/>
    </row>
    <row r="4" customFormat="false" ht="15" hidden="false" customHeight="false" outlineLevel="0" collapsed="false">
      <c r="A4" s="12" t="s">
        <v>367</v>
      </c>
      <c r="B4" s="13" t="s">
        <v>327</v>
      </c>
      <c r="C4" s="13" t="s">
        <v>368</v>
      </c>
      <c r="D4" s="13" t="s">
        <v>369</v>
      </c>
      <c r="E4" s="13" t="s">
        <v>370</v>
      </c>
      <c r="F4" s="12" t="n">
        <v>3</v>
      </c>
      <c r="G4" s="14" t="n">
        <v>299</v>
      </c>
      <c r="H4" s="12" t="n">
        <v>4</v>
      </c>
      <c r="I4" s="12" t="n">
        <v>4</v>
      </c>
      <c r="J4" s="8" t="n">
        <f aca="false">IF(AND(OR(E4="On time",E4="Advance"),I4&gt;=H4),1,0)</f>
        <v>0</v>
      </c>
      <c r="L4" s="3" t="s">
        <v>371</v>
      </c>
      <c r="M4" s="15" t="n">
        <f aca="false">COUNTA(A4:A27)</f>
        <v>24</v>
      </c>
      <c r="O4" s="3" t="s">
        <v>372</v>
      </c>
      <c r="P4" s="16" t="n">
        <v>0.98</v>
      </c>
    </row>
    <row r="5" customFormat="false" ht="15" hidden="false" customHeight="false" outlineLevel="0" collapsed="false">
      <c r="A5" s="12" t="s">
        <v>373</v>
      </c>
      <c r="B5" s="13" t="s">
        <v>374</v>
      </c>
      <c r="C5" s="13" t="s">
        <v>375</v>
      </c>
      <c r="D5" s="13" t="s">
        <v>376</v>
      </c>
      <c r="E5" s="13" t="s">
        <v>377</v>
      </c>
      <c r="F5" s="12" t="n">
        <v>0</v>
      </c>
      <c r="G5" s="14" t="n">
        <v>540</v>
      </c>
      <c r="H5" s="12" t="n">
        <v>2</v>
      </c>
      <c r="I5" s="12" t="n">
        <v>2</v>
      </c>
      <c r="J5" s="8" t="n">
        <f aca="false">IF(AND(OR(E5="On time",E5="Advance"),I5&gt;=H5),1,0)</f>
        <v>1</v>
      </c>
      <c r="L5" s="3" t="s">
        <v>378</v>
      </c>
      <c r="M5" s="15" t="n">
        <f aca="false">COUNTIF(E4:E27,"Shipping canceled")</f>
        <v>2</v>
      </c>
      <c r="O5" s="3" t="s">
        <v>379</v>
      </c>
      <c r="P5" s="16" t="n">
        <v>0.99</v>
      </c>
    </row>
    <row r="6" customFormat="false" ht="26.85" hidden="false" customHeight="false" outlineLevel="0" collapsed="false">
      <c r="A6" s="12" t="s">
        <v>380</v>
      </c>
      <c r="B6" s="13" t="s">
        <v>381</v>
      </c>
      <c r="C6" s="13" t="s">
        <v>382</v>
      </c>
      <c r="D6" s="13" t="s">
        <v>369</v>
      </c>
      <c r="E6" s="13" t="s">
        <v>370</v>
      </c>
      <c r="F6" s="12" t="n">
        <v>2</v>
      </c>
      <c r="G6" s="14" t="n">
        <v>120</v>
      </c>
      <c r="H6" s="12" t="n">
        <v>5</v>
      </c>
      <c r="I6" s="12" t="n">
        <v>5</v>
      </c>
      <c r="J6" s="8" t="n">
        <f aca="false">IF(AND(OR(E6="On time",E6="Advance"),I6&gt;=H6),1,0)</f>
        <v>0</v>
      </c>
      <c r="L6" s="3" t="s">
        <v>383</v>
      </c>
      <c r="M6" s="15" t="n">
        <f aca="false">M4-M5</f>
        <v>22</v>
      </c>
      <c r="O6" s="3" t="s">
        <v>384</v>
      </c>
      <c r="P6" s="16" t="n">
        <v>0.99</v>
      </c>
    </row>
    <row r="7" customFormat="false" ht="15" hidden="false" customHeight="false" outlineLevel="0" collapsed="false">
      <c r="A7" s="12" t="s">
        <v>385</v>
      </c>
      <c r="B7" s="13" t="s">
        <v>386</v>
      </c>
      <c r="C7" s="13" t="s">
        <v>387</v>
      </c>
      <c r="D7" s="13" t="s">
        <v>388</v>
      </c>
      <c r="E7" s="13" t="s">
        <v>389</v>
      </c>
      <c r="F7" s="12" t="n">
        <v>-1</v>
      </c>
      <c r="G7" s="14" t="n">
        <v>1500</v>
      </c>
      <c r="H7" s="12" t="n">
        <v>1</v>
      </c>
      <c r="I7" s="12" t="n">
        <v>1</v>
      </c>
      <c r="J7" s="8" t="n">
        <f aca="false">IF(AND(OR(E7="On time",E7="Advance"),I7&gt;=H7),1,0)</f>
        <v>1</v>
      </c>
      <c r="L7" s="3" t="s">
        <v>390</v>
      </c>
      <c r="M7" s="15" t="n">
        <f aca="false">COUNTIF(E4:E27,"Late delivery")</f>
        <v>9</v>
      </c>
    </row>
    <row r="8" customFormat="false" ht="15" hidden="false" customHeight="false" outlineLevel="0" collapsed="false">
      <c r="A8" s="12" t="s">
        <v>391</v>
      </c>
      <c r="B8" s="13" t="s">
        <v>327</v>
      </c>
      <c r="C8" s="13" t="s">
        <v>375</v>
      </c>
      <c r="D8" s="13" t="s">
        <v>369</v>
      </c>
      <c r="E8" s="13" t="s">
        <v>370</v>
      </c>
      <c r="F8" s="12" t="n">
        <v>4</v>
      </c>
      <c r="G8" s="14" t="n">
        <v>760</v>
      </c>
      <c r="H8" s="12" t="n">
        <v>3</v>
      </c>
      <c r="I8" s="12" t="n">
        <v>2</v>
      </c>
      <c r="J8" s="8" t="n">
        <f aca="false">IF(AND(OR(E8="On time",E8="Advance"),I8&gt;=H8),1,0)</f>
        <v>0</v>
      </c>
      <c r="L8" s="3" t="s">
        <v>392</v>
      </c>
      <c r="M8" s="17" t="n">
        <f aca="false">IFERROR(M7/M6,0)</f>
        <v>0.409090909090909</v>
      </c>
    </row>
    <row r="9" customFormat="false" ht="15" hidden="false" customHeight="false" outlineLevel="0" collapsed="false">
      <c r="A9" s="12" t="s">
        <v>393</v>
      </c>
      <c r="B9" s="13" t="s">
        <v>374</v>
      </c>
      <c r="C9" s="13" t="s">
        <v>382</v>
      </c>
      <c r="D9" s="13" t="s">
        <v>394</v>
      </c>
      <c r="E9" s="13" t="s">
        <v>377</v>
      </c>
      <c r="F9" s="12" t="n">
        <v>0</v>
      </c>
      <c r="G9" s="14" t="n">
        <v>90</v>
      </c>
      <c r="H9" s="12" t="n">
        <v>6</v>
      </c>
      <c r="I9" s="12" t="n">
        <v>6</v>
      </c>
      <c r="J9" s="8" t="n">
        <f aca="false">IF(AND(OR(E9="On time",E9="Advance"),I9&gt;=H9),1,0)</f>
        <v>1</v>
      </c>
      <c r="L9" s="3" t="s">
        <v>395</v>
      </c>
      <c r="M9" s="15" t="n">
        <f aca="false">SUM(J4:J27)</f>
        <v>12</v>
      </c>
    </row>
    <row r="10" customFormat="false" ht="15" hidden="false" customHeight="false" outlineLevel="0" collapsed="false">
      <c r="A10" s="12" t="s">
        <v>396</v>
      </c>
      <c r="B10" s="13" t="s">
        <v>381</v>
      </c>
      <c r="C10" s="13" t="s">
        <v>368</v>
      </c>
      <c r="D10" s="13" t="s">
        <v>369</v>
      </c>
      <c r="E10" s="13" t="s">
        <v>377</v>
      </c>
      <c r="F10" s="12" t="n">
        <v>0</v>
      </c>
      <c r="G10" s="14" t="n">
        <v>210</v>
      </c>
      <c r="H10" s="12" t="n">
        <v>4</v>
      </c>
      <c r="I10" s="12" t="n">
        <v>4</v>
      </c>
      <c r="J10" s="8" t="n">
        <f aca="false">IF(AND(OR(E10="On time",E10="Advance"),I10&gt;=H10),1,0)</f>
        <v>1</v>
      </c>
      <c r="L10" s="3" t="s">
        <v>397</v>
      </c>
      <c r="M10" s="17" t="n">
        <f aca="false">IFERROR(M9/M6,0)</f>
        <v>0.545454545454545</v>
      </c>
    </row>
    <row r="11" customFormat="false" ht="15" hidden="false" customHeight="false" outlineLevel="0" collapsed="false">
      <c r="A11" s="12" t="s">
        <v>398</v>
      </c>
      <c r="B11" s="13" t="s">
        <v>386</v>
      </c>
      <c r="C11" s="13" t="s">
        <v>375</v>
      </c>
      <c r="D11" s="13" t="s">
        <v>376</v>
      </c>
      <c r="E11" s="13" t="s">
        <v>370</v>
      </c>
      <c r="F11" s="12" t="n">
        <v>1</v>
      </c>
      <c r="G11" s="14" t="n">
        <v>980</v>
      </c>
      <c r="H11" s="12" t="n">
        <v>2</v>
      </c>
      <c r="I11" s="12" t="n">
        <v>2</v>
      </c>
      <c r="J11" s="8" t="n">
        <f aca="false">IF(AND(OR(E11="On time",E11="Advance"),I11&gt;=H11),1,0)</f>
        <v>0</v>
      </c>
      <c r="L11" s="3" t="s">
        <v>399</v>
      </c>
      <c r="M11" s="18" t="n">
        <f aca="false">AVERAGEIFS(F4:F27,E4:E27,"&lt;&gt;Shipping canceled")</f>
        <v>0.909090909090909</v>
      </c>
    </row>
    <row r="12" customFormat="false" ht="15" hidden="false" customHeight="false" outlineLevel="0" collapsed="false">
      <c r="A12" s="12" t="s">
        <v>400</v>
      </c>
      <c r="B12" s="13" t="s">
        <v>327</v>
      </c>
      <c r="C12" s="13" t="s">
        <v>382</v>
      </c>
      <c r="D12" s="13" t="s">
        <v>388</v>
      </c>
      <c r="E12" s="13" t="s">
        <v>389</v>
      </c>
      <c r="F12" s="12" t="n">
        <v>-2</v>
      </c>
      <c r="G12" s="14" t="n">
        <v>150</v>
      </c>
      <c r="H12" s="12" t="n">
        <v>3</v>
      </c>
      <c r="I12" s="12" t="n">
        <v>3</v>
      </c>
      <c r="J12" s="8" t="n">
        <f aca="false">IF(AND(OR(E12="On time",E12="Advance"),I12&gt;=H12),1,0)</f>
        <v>1</v>
      </c>
      <c r="L12" s="3" t="s">
        <v>401</v>
      </c>
      <c r="M12" s="19" t="n">
        <f aca="false">SUMIF(E4:E27,"Late delivery",G4:G27)</f>
        <v>6504</v>
      </c>
    </row>
    <row r="13" customFormat="false" ht="15" hidden="false" customHeight="false" outlineLevel="0" collapsed="false">
      <c r="A13" s="12" t="s">
        <v>402</v>
      </c>
      <c r="B13" s="13" t="s">
        <v>374</v>
      </c>
      <c r="C13" s="13" t="s">
        <v>387</v>
      </c>
      <c r="D13" s="13" t="s">
        <v>369</v>
      </c>
      <c r="E13" s="13" t="s">
        <v>370</v>
      </c>
      <c r="F13" s="12" t="n">
        <v>5</v>
      </c>
      <c r="G13" s="14" t="n">
        <v>2100</v>
      </c>
      <c r="H13" s="12" t="n">
        <v>1</v>
      </c>
      <c r="I13" s="12" t="n">
        <v>1</v>
      </c>
      <c r="J13" s="8" t="n">
        <f aca="false">IF(AND(OR(E13="On time",E13="Advance"),I13&gt;=H13),1,0)</f>
        <v>0</v>
      </c>
      <c r="L13" s="3" t="s">
        <v>403</v>
      </c>
      <c r="M13" s="19" t="n">
        <f aca="false">SUM(G4:G27)</f>
        <v>16984</v>
      </c>
    </row>
    <row r="14" customFormat="false" ht="15" hidden="false" customHeight="false" outlineLevel="0" collapsed="false">
      <c r="A14" s="12" t="s">
        <v>404</v>
      </c>
      <c r="B14" s="13" t="s">
        <v>381</v>
      </c>
      <c r="C14" s="13" t="s">
        <v>375</v>
      </c>
      <c r="D14" s="13" t="s">
        <v>369</v>
      </c>
      <c r="E14" s="13" t="s">
        <v>377</v>
      </c>
      <c r="F14" s="12" t="n">
        <v>0</v>
      </c>
      <c r="G14" s="14" t="n">
        <v>430</v>
      </c>
      <c r="H14" s="12" t="n">
        <v>2</v>
      </c>
      <c r="I14" s="12" t="n">
        <v>2</v>
      </c>
      <c r="J14" s="8" t="n">
        <f aca="false">IF(AND(OR(E14="On time",E14="Advance"),I14&gt;=H14),1,0)</f>
        <v>1</v>
      </c>
      <c r="L14" s="3" t="s">
        <v>405</v>
      </c>
      <c r="M14" s="17" t="n">
        <f aca="false">IFERROR(SUM(I4:I27)/SUM(H4:H27),0)</f>
        <v>0.928571428571429</v>
      </c>
    </row>
    <row r="15" customFormat="false" ht="15" hidden="false" customHeight="false" outlineLevel="0" collapsed="false">
      <c r="A15" s="12" t="s">
        <v>406</v>
      </c>
      <c r="B15" s="13" t="s">
        <v>386</v>
      </c>
      <c r="C15" s="13" t="s">
        <v>368</v>
      </c>
      <c r="D15" s="13" t="s">
        <v>394</v>
      </c>
      <c r="E15" s="13" t="s">
        <v>377</v>
      </c>
      <c r="F15" s="12" t="n">
        <v>0</v>
      </c>
      <c r="G15" s="14" t="n">
        <v>260</v>
      </c>
      <c r="H15" s="12" t="n">
        <v>4</v>
      </c>
      <c r="I15" s="12" t="n">
        <v>3</v>
      </c>
      <c r="J15" s="8" t="n">
        <f aca="false">IF(AND(OR(E15="On time",E15="Advance"),I15&gt;=H15),1,0)</f>
        <v>0</v>
      </c>
      <c r="L15" s="3" t="s">
        <v>407</v>
      </c>
      <c r="M15" s="17" t="n">
        <f aca="false">M10*P4*P5*P6</f>
        <v>0.523908</v>
      </c>
    </row>
    <row r="16" customFormat="false" ht="15" hidden="false" customHeight="false" outlineLevel="0" collapsed="false">
      <c r="A16" s="12" t="s">
        <v>408</v>
      </c>
      <c r="B16" s="13" t="s">
        <v>327</v>
      </c>
      <c r="C16" s="13" t="s">
        <v>387</v>
      </c>
      <c r="D16" s="13" t="s">
        <v>369</v>
      </c>
      <c r="E16" s="13" t="s">
        <v>370</v>
      </c>
      <c r="F16" s="12" t="n">
        <v>2</v>
      </c>
      <c r="G16" s="14" t="n">
        <v>1750</v>
      </c>
      <c r="H16" s="12" t="n">
        <v>1</v>
      </c>
      <c r="I16" s="12" t="n">
        <v>1</v>
      </c>
      <c r="J16" s="8" t="n">
        <f aca="false">IF(AND(OR(E16="On time",E16="Advance"),I16&gt;=H16),1,0)</f>
        <v>0</v>
      </c>
    </row>
    <row r="17" customFormat="false" ht="15" hidden="false" customHeight="false" outlineLevel="0" collapsed="false">
      <c r="A17" s="12" t="s">
        <v>409</v>
      </c>
      <c r="B17" s="13" t="s">
        <v>374</v>
      </c>
      <c r="C17" s="13" t="s">
        <v>375</v>
      </c>
      <c r="D17" s="13" t="s">
        <v>388</v>
      </c>
      <c r="E17" s="13" t="s">
        <v>377</v>
      </c>
      <c r="F17" s="12" t="n">
        <v>0</v>
      </c>
      <c r="G17" s="14" t="n">
        <v>615</v>
      </c>
      <c r="H17" s="12" t="n">
        <v>2</v>
      </c>
      <c r="I17" s="12" t="n">
        <v>2</v>
      </c>
      <c r="J17" s="8" t="n">
        <f aca="false">IF(AND(OR(E17="On time",E17="Advance"),I17&gt;=H17),1,0)</f>
        <v>1</v>
      </c>
    </row>
    <row r="18" customFormat="false" ht="15" hidden="false" customHeight="false" outlineLevel="0" collapsed="false">
      <c r="A18" s="12" t="s">
        <v>410</v>
      </c>
      <c r="B18" s="13" t="s">
        <v>381</v>
      </c>
      <c r="C18" s="13" t="s">
        <v>382</v>
      </c>
      <c r="D18" s="13" t="s">
        <v>369</v>
      </c>
      <c r="E18" s="13" t="s">
        <v>370</v>
      </c>
      <c r="F18" s="12" t="n">
        <v>6</v>
      </c>
      <c r="G18" s="14" t="n">
        <v>180</v>
      </c>
      <c r="H18" s="12" t="n">
        <v>5</v>
      </c>
      <c r="I18" s="12" t="n">
        <v>4</v>
      </c>
      <c r="J18" s="8" t="n">
        <f aca="false">IF(AND(OR(E18="On time",E18="Advance"),I18&gt;=H18),1,0)</f>
        <v>0</v>
      </c>
    </row>
    <row r="19" customFormat="false" ht="15" hidden="false" customHeight="false" outlineLevel="0" collapsed="false">
      <c r="A19" s="12" t="s">
        <v>411</v>
      </c>
      <c r="B19" s="13" t="s">
        <v>386</v>
      </c>
      <c r="C19" s="13" t="s">
        <v>382</v>
      </c>
      <c r="D19" s="13" t="s">
        <v>376</v>
      </c>
      <c r="E19" s="13" t="s">
        <v>389</v>
      </c>
      <c r="F19" s="12" t="n">
        <v>-1</v>
      </c>
      <c r="G19" s="14" t="n">
        <v>130</v>
      </c>
      <c r="H19" s="12" t="n">
        <v>3</v>
      </c>
      <c r="I19" s="12" t="n">
        <v>3</v>
      </c>
      <c r="J19" s="8" t="n">
        <f aca="false">IF(AND(OR(E19="On time",E19="Advance"),I19&gt;=H19),1,0)</f>
        <v>1</v>
      </c>
    </row>
    <row r="20" customFormat="false" ht="15" hidden="false" customHeight="false" outlineLevel="0" collapsed="false">
      <c r="A20" s="12" t="s">
        <v>412</v>
      </c>
      <c r="B20" s="13" t="s">
        <v>327</v>
      </c>
      <c r="C20" s="13" t="s">
        <v>375</v>
      </c>
      <c r="D20" s="13" t="s">
        <v>369</v>
      </c>
      <c r="E20" s="13" t="s">
        <v>377</v>
      </c>
      <c r="F20" s="12" t="n">
        <v>0</v>
      </c>
      <c r="G20" s="14" t="n">
        <v>845</v>
      </c>
      <c r="H20" s="12" t="n">
        <v>2</v>
      </c>
      <c r="I20" s="12" t="n">
        <v>2</v>
      </c>
      <c r="J20" s="8" t="n">
        <f aca="false">IF(AND(OR(E20="On time",E20="Advance"),I20&gt;=H20),1,0)</f>
        <v>1</v>
      </c>
    </row>
    <row r="21" customFormat="false" ht="15" hidden="false" customHeight="false" outlineLevel="0" collapsed="false">
      <c r="A21" s="12" t="s">
        <v>413</v>
      </c>
      <c r="B21" s="13" t="s">
        <v>374</v>
      </c>
      <c r="C21" s="13" t="s">
        <v>368</v>
      </c>
      <c r="D21" s="13" t="s">
        <v>369</v>
      </c>
      <c r="E21" s="13" t="s">
        <v>370</v>
      </c>
      <c r="F21" s="12" t="n">
        <v>3</v>
      </c>
      <c r="G21" s="14" t="n">
        <v>220</v>
      </c>
      <c r="H21" s="12" t="n">
        <v>4</v>
      </c>
      <c r="I21" s="12" t="n">
        <v>4</v>
      </c>
      <c r="J21" s="8" t="n">
        <f aca="false">IF(AND(OR(E21="On time",E21="Advance"),I21&gt;=H21),1,0)</f>
        <v>0</v>
      </c>
    </row>
    <row r="22" customFormat="false" ht="15" hidden="false" customHeight="false" outlineLevel="0" collapsed="false">
      <c r="A22" s="12" t="s">
        <v>414</v>
      </c>
      <c r="B22" s="13" t="s">
        <v>381</v>
      </c>
      <c r="C22" s="13" t="s">
        <v>387</v>
      </c>
      <c r="D22" s="13" t="s">
        <v>388</v>
      </c>
      <c r="E22" s="13" t="s">
        <v>415</v>
      </c>
      <c r="F22" s="12"/>
      <c r="G22" s="14" t="n">
        <v>1990</v>
      </c>
      <c r="H22" s="12" t="n">
        <v>1</v>
      </c>
      <c r="I22" s="12" t="n">
        <v>0</v>
      </c>
      <c r="J22" s="8" t="n">
        <f aca="false">IF(AND(OR(E22="On time",E22="Advance"),I22&gt;=H22),1,0)</f>
        <v>0</v>
      </c>
    </row>
    <row r="23" customFormat="false" ht="15" hidden="false" customHeight="false" outlineLevel="0" collapsed="false">
      <c r="A23" s="12" t="s">
        <v>416</v>
      </c>
      <c r="B23" s="13" t="s">
        <v>386</v>
      </c>
      <c r="C23" s="13" t="s">
        <v>375</v>
      </c>
      <c r="D23" s="13" t="s">
        <v>369</v>
      </c>
      <c r="E23" s="13" t="s">
        <v>377</v>
      </c>
      <c r="F23" s="12" t="n">
        <v>0</v>
      </c>
      <c r="G23" s="14" t="n">
        <v>720</v>
      </c>
      <c r="H23" s="12" t="n">
        <v>2</v>
      </c>
      <c r="I23" s="12" t="n">
        <v>2</v>
      </c>
      <c r="J23" s="8" t="n">
        <f aca="false">IF(AND(OR(E23="On time",E23="Advance"),I23&gt;=H23),1,0)</f>
        <v>1</v>
      </c>
    </row>
    <row r="24" customFormat="false" ht="15" hidden="false" customHeight="false" outlineLevel="0" collapsed="false">
      <c r="A24" s="12" t="s">
        <v>417</v>
      </c>
      <c r="B24" s="13" t="s">
        <v>327</v>
      </c>
      <c r="C24" s="13" t="s">
        <v>382</v>
      </c>
      <c r="D24" s="13" t="s">
        <v>394</v>
      </c>
      <c r="E24" s="13" t="s">
        <v>370</v>
      </c>
      <c r="F24" s="12" t="n">
        <v>1</v>
      </c>
      <c r="G24" s="14" t="n">
        <v>95</v>
      </c>
      <c r="H24" s="12" t="n">
        <v>6</v>
      </c>
      <c r="I24" s="12" t="n">
        <v>6</v>
      </c>
      <c r="J24" s="8" t="n">
        <f aca="false">IF(AND(OR(E24="On time",E24="Advance"),I24&gt;=H24),1,0)</f>
        <v>0</v>
      </c>
    </row>
    <row r="25" customFormat="false" ht="15" hidden="false" customHeight="false" outlineLevel="0" collapsed="false">
      <c r="A25" s="12" t="s">
        <v>418</v>
      </c>
      <c r="B25" s="13" t="s">
        <v>374</v>
      </c>
      <c r="C25" s="13" t="s">
        <v>375</v>
      </c>
      <c r="D25" s="13" t="s">
        <v>376</v>
      </c>
      <c r="E25" s="13" t="s">
        <v>377</v>
      </c>
      <c r="F25" s="12" t="n">
        <v>0</v>
      </c>
      <c r="G25" s="14" t="n">
        <v>560</v>
      </c>
      <c r="H25" s="12" t="n">
        <v>2</v>
      </c>
      <c r="I25" s="12" t="n">
        <v>2</v>
      </c>
      <c r="J25" s="8" t="n">
        <f aca="false">IF(AND(OR(E25="On time",E25="Advance"),I25&gt;=H25),1,0)</f>
        <v>1</v>
      </c>
    </row>
    <row r="26" customFormat="false" ht="15" hidden="false" customHeight="false" outlineLevel="0" collapsed="false">
      <c r="A26" s="12" t="s">
        <v>419</v>
      </c>
      <c r="B26" s="13" t="s">
        <v>381</v>
      </c>
      <c r="C26" s="13" t="s">
        <v>368</v>
      </c>
      <c r="D26" s="13" t="s">
        <v>369</v>
      </c>
      <c r="E26" s="13" t="s">
        <v>389</v>
      </c>
      <c r="F26" s="12" t="n">
        <v>-3</v>
      </c>
      <c r="G26" s="14" t="n">
        <v>240</v>
      </c>
      <c r="H26" s="12" t="n">
        <v>4</v>
      </c>
      <c r="I26" s="12" t="n">
        <v>4</v>
      </c>
      <c r="J26" s="8" t="n">
        <f aca="false">IF(AND(OR(E26="On time",E26="Advance"),I26&gt;=H26),1,0)</f>
        <v>1</v>
      </c>
    </row>
    <row r="27" customFormat="false" ht="15" hidden="false" customHeight="false" outlineLevel="0" collapsed="false">
      <c r="A27" s="12" t="s">
        <v>420</v>
      </c>
      <c r="B27" s="13" t="s">
        <v>386</v>
      </c>
      <c r="C27" s="13" t="s">
        <v>387</v>
      </c>
      <c r="D27" s="13" t="s">
        <v>369</v>
      </c>
      <c r="E27" s="13" t="s">
        <v>415</v>
      </c>
      <c r="F27" s="12"/>
      <c r="G27" s="14" t="n">
        <v>2200</v>
      </c>
      <c r="H27" s="12" t="n">
        <v>1</v>
      </c>
      <c r="I27" s="12" t="n">
        <v>0</v>
      </c>
      <c r="J27" s="8" t="n">
        <f aca="false">IF(AND(OR(E27="On time",E27="Advance"),I27&gt;=H27),1,0)</f>
        <v>0</v>
      </c>
    </row>
    <row r="30" customFormat="false" ht="15" hidden="false" customHeight="true" outlineLevel="0" collapsed="false">
      <c r="A30" s="2" t="s">
        <v>421</v>
      </c>
      <c r="B30" s="2"/>
      <c r="C30" s="2"/>
      <c r="D30" s="2"/>
      <c r="E30" s="2"/>
    </row>
    <row r="31" customFormat="false" ht="15" hidden="false" customHeight="false" outlineLevel="0" collapsed="false">
      <c r="A31" s="5" t="s">
        <v>356</v>
      </c>
      <c r="B31" s="5" t="s">
        <v>422</v>
      </c>
      <c r="C31" s="5" t="s">
        <v>390</v>
      </c>
      <c r="D31" s="5" t="s">
        <v>423</v>
      </c>
      <c r="E31" s="5" t="s">
        <v>360</v>
      </c>
    </row>
    <row r="32" customFormat="false" ht="15" hidden="false" customHeight="false" outlineLevel="0" collapsed="false">
      <c r="A32" s="20" t="s">
        <v>327</v>
      </c>
      <c r="B32" s="15" t="n">
        <f aca="false">COUNTIF($B$4:$B$27,A32)</f>
        <v>6</v>
      </c>
      <c r="C32" s="15" t="n">
        <f aca="false">COUNTIFS($B$4:$B$27,A32,$E$4:$E$27,"Late delivery")</f>
        <v>4</v>
      </c>
      <c r="D32" s="17" t="n">
        <f aca="false">IFERROR(C32/B32,0)</f>
        <v>0.666666666666667</v>
      </c>
      <c r="E32" s="19" t="n">
        <f aca="false">SUMIF($B$4:$B$27,A32,$G$4:$G$27)</f>
        <v>3899</v>
      </c>
    </row>
    <row r="33" customFormat="false" ht="15" hidden="false" customHeight="false" outlineLevel="0" collapsed="false">
      <c r="A33" s="20" t="s">
        <v>374</v>
      </c>
      <c r="B33" s="15" t="n">
        <f aca="false">COUNTIF($B$4:$B$27,A33)</f>
        <v>6</v>
      </c>
      <c r="C33" s="15" t="n">
        <f aca="false">COUNTIFS($B$4:$B$27,A33,$E$4:$E$27,"Late delivery")</f>
        <v>2</v>
      </c>
      <c r="D33" s="17" t="n">
        <f aca="false">IFERROR(C33/B33,0)</f>
        <v>0.333333333333333</v>
      </c>
      <c r="E33" s="19" t="n">
        <f aca="false">SUMIF($B$4:$B$27,A33,$G$4:$G$27)</f>
        <v>4125</v>
      </c>
    </row>
    <row r="34" customFormat="false" ht="15" hidden="false" customHeight="false" outlineLevel="0" collapsed="false">
      <c r="A34" s="20" t="s">
        <v>381</v>
      </c>
      <c r="B34" s="15" t="n">
        <f aca="false">COUNTIF($B$4:$B$27,A34)</f>
        <v>6</v>
      </c>
      <c r="C34" s="15" t="n">
        <f aca="false">COUNTIFS($B$4:$B$27,A34,$E$4:$E$27,"Late delivery")</f>
        <v>2</v>
      </c>
      <c r="D34" s="17" t="n">
        <f aca="false">IFERROR(C34/B34,0)</f>
        <v>0.333333333333333</v>
      </c>
      <c r="E34" s="19" t="n">
        <f aca="false">SUMIF($B$4:$B$27,A34,$G$4:$G$27)</f>
        <v>3170</v>
      </c>
    </row>
    <row r="35" customFormat="false" ht="15" hidden="false" customHeight="false" outlineLevel="0" collapsed="false">
      <c r="A35" s="20" t="s">
        <v>386</v>
      </c>
      <c r="B35" s="15" t="n">
        <f aca="false">COUNTIF($B$4:$B$27,A35)</f>
        <v>6</v>
      </c>
      <c r="C35" s="15" t="n">
        <f aca="false">COUNTIFS($B$4:$B$27,A35,$E$4:$E$27,"Late delivery")</f>
        <v>1</v>
      </c>
      <c r="D35" s="17" t="n">
        <f aca="false">IFERROR(C35/B35,0)</f>
        <v>0.166666666666667</v>
      </c>
      <c r="E35" s="19" t="n">
        <f aca="false">SUMIF($B$4:$B$27,A35,$G$4:$G$27)</f>
        <v>5790</v>
      </c>
    </row>
    <row r="36" customFormat="false" ht="15" hidden="false" customHeight="false" outlineLevel="0" collapsed="false">
      <c r="A36" s="7" t="s">
        <v>424</v>
      </c>
      <c r="B36" s="21" t="n">
        <f aca="false">SUM(B32:B35)</f>
        <v>24</v>
      </c>
      <c r="C36" s="21" t="n">
        <f aca="false">SUM(C32:C35)</f>
        <v>9</v>
      </c>
      <c r="D36" s="22" t="n">
        <f aca="false">IFERROR(C36/B36,0)</f>
        <v>0.375</v>
      </c>
      <c r="E36" s="23" t="n">
        <f aca="false">SUM(E32:E35)</f>
        <v>16984</v>
      </c>
    </row>
  </sheetData>
  <mergeCells count="3">
    <mergeCell ref="A1:M1"/>
    <mergeCell ref="A2:M2"/>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40"/>
    <col collapsed="false" customWidth="true" hidden="false" outlineLevel="0" max="4" min="4" style="0" width="2"/>
  </cols>
  <sheetData>
    <row r="1" customFormat="false" ht="18.55" hidden="false" customHeight="false" outlineLevel="0" collapsed="false">
      <c r="A1" s="1" t="s">
        <v>425</v>
      </c>
      <c r="B1" s="1"/>
      <c r="C1" s="1"/>
      <c r="D1" s="1"/>
    </row>
    <row r="2" customFormat="false" ht="22.35" hidden="false" customHeight="true" outlineLevel="0" collapsed="false">
      <c r="A2" s="4" t="s">
        <v>426</v>
      </c>
      <c r="B2" s="4"/>
      <c r="C2" s="4"/>
      <c r="D2" s="4"/>
    </row>
    <row r="3" customFormat="false" ht="15" hidden="false" customHeight="false" outlineLevel="0" collapsed="false">
      <c r="A3" s="5" t="s">
        <v>427</v>
      </c>
      <c r="B3" s="5" t="s">
        <v>428</v>
      </c>
      <c r="C3" s="5" t="s">
        <v>429</v>
      </c>
      <c r="D3" s="5"/>
    </row>
    <row r="4" customFormat="false" ht="15" hidden="false" customHeight="false" outlineLevel="0" collapsed="false">
      <c r="A4" s="3" t="s">
        <v>430</v>
      </c>
      <c r="B4" s="15" t="n">
        <v>168</v>
      </c>
      <c r="C4" s="3" t="s">
        <v>431</v>
      </c>
    </row>
    <row r="5" customFormat="false" ht="15" hidden="false" customHeight="false" outlineLevel="0" collapsed="false">
      <c r="A5" s="3" t="s">
        <v>432</v>
      </c>
      <c r="B5" s="15" t="n">
        <v>14</v>
      </c>
      <c r="C5" s="3" t="s">
        <v>433</v>
      </c>
    </row>
    <row r="6" customFormat="false" ht="15" hidden="false" customHeight="false" outlineLevel="0" collapsed="false">
      <c r="A6" s="3" t="s">
        <v>434</v>
      </c>
      <c r="B6" s="15" t="n">
        <v>22</v>
      </c>
      <c r="C6" s="3" t="s">
        <v>435</v>
      </c>
    </row>
    <row r="7" customFormat="false" ht="15" hidden="false" customHeight="false" outlineLevel="0" collapsed="false">
      <c r="A7" s="7" t="s">
        <v>436</v>
      </c>
      <c r="B7" s="21" t="n">
        <f aca="false">B4+B5-B6</f>
        <v>160</v>
      </c>
      <c r="C7" s="3" t="s">
        <v>437</v>
      </c>
    </row>
    <row r="8" customFormat="false" ht="15" hidden="false" customHeight="false" outlineLevel="0" collapsed="false">
      <c r="A8" s="3" t="s">
        <v>438</v>
      </c>
      <c r="B8" s="15" t="n">
        <v>112</v>
      </c>
      <c r="C8" s="3" t="s">
        <v>439</v>
      </c>
    </row>
    <row r="9" customFormat="false" ht="15" hidden="false" customHeight="false" outlineLevel="0" collapsed="false">
      <c r="A9" s="7" t="s">
        <v>440</v>
      </c>
      <c r="B9" s="21" t="n">
        <f aca="false">B7-B8</f>
        <v>48</v>
      </c>
      <c r="C9" s="3" t="s">
        <v>441</v>
      </c>
    </row>
    <row r="10" customFormat="false" ht="15" hidden="false" customHeight="false" outlineLevel="0" collapsed="false">
      <c r="A10" s="3" t="s">
        <v>442</v>
      </c>
      <c r="B10" s="15" t="n">
        <v>26</v>
      </c>
      <c r="C10" s="3" t="s">
        <v>443</v>
      </c>
    </row>
    <row r="11" customFormat="false" ht="15" hidden="false" customHeight="false" outlineLevel="0" collapsed="false">
      <c r="A11" s="7" t="s">
        <v>444</v>
      </c>
      <c r="B11" s="21" t="n">
        <f aca="false">B9-B10</f>
        <v>22</v>
      </c>
      <c r="C11" s="3" t="s">
        <v>445</v>
      </c>
    </row>
    <row r="13" customFormat="false" ht="15" hidden="false" customHeight="false" outlineLevel="0" collapsed="false">
      <c r="A13" s="7" t="s">
        <v>446</v>
      </c>
      <c r="B13" s="24" t="n">
        <f aca="false">COUNTA('03_Extraction'!A4:A25)</f>
        <v>22</v>
      </c>
    </row>
    <row r="14" customFormat="false" ht="15" hidden="false" customHeight="false" outlineLevel="0" collapsed="false">
      <c r="A14" s="7" t="s">
        <v>447</v>
      </c>
      <c r="B14" s="7" t="str">
        <f aca="false">IF(B11=B13,"MATCH","CHECK")</f>
        <v>MATCH</v>
      </c>
    </row>
    <row r="16" customFormat="false" ht="15" hidden="false" customHeight="true" outlineLevel="0" collapsed="false">
      <c r="A16" s="2" t="s">
        <v>448</v>
      </c>
      <c r="B16" s="2"/>
      <c r="C16" s="2"/>
    </row>
    <row r="17" customFormat="false" ht="15" hidden="false" customHeight="false" outlineLevel="0" collapsed="false">
      <c r="A17" s="25" t="s">
        <v>449</v>
      </c>
      <c r="B17" s="25" t="s">
        <v>428</v>
      </c>
    </row>
    <row r="18" customFormat="false" ht="15" hidden="false" customHeight="false" outlineLevel="0" collapsed="false">
      <c r="A18" s="3" t="s">
        <v>450</v>
      </c>
      <c r="B18" s="15" t="n">
        <v>10</v>
      </c>
    </row>
    <row r="19" customFormat="false" ht="15" hidden="false" customHeight="false" outlineLevel="0" collapsed="false">
      <c r="A19" s="3" t="s">
        <v>147</v>
      </c>
      <c r="B19" s="15" t="n">
        <v>4</v>
      </c>
    </row>
    <row r="20" customFormat="false" ht="15" hidden="false" customHeight="false" outlineLevel="0" collapsed="false">
      <c r="A20" s="3" t="s">
        <v>451</v>
      </c>
      <c r="B20" s="15" t="n">
        <v>7</v>
      </c>
    </row>
    <row r="21" customFormat="false" ht="15" hidden="false" customHeight="false" outlineLevel="0" collapsed="false">
      <c r="A21" s="3" t="s">
        <v>151</v>
      </c>
      <c r="B21" s="15" t="n">
        <v>5</v>
      </c>
    </row>
    <row r="22" customFormat="false" ht="15" hidden="false" customHeight="false" outlineLevel="0" collapsed="false">
      <c r="A22" s="7" t="s">
        <v>452</v>
      </c>
      <c r="B22" s="21" t="n">
        <f aca="false">SUM(B18:B21)</f>
        <v>26</v>
      </c>
    </row>
  </sheetData>
  <mergeCells count="3">
    <mergeCell ref="A1:D1"/>
    <mergeCell ref="A2:D2"/>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4" min="4" style="0" width="16"/>
    <col collapsed="false" customWidth="true" hidden="false" outlineLevel="0" max="5" min="5" style="0" width="10"/>
  </cols>
  <sheetData>
    <row r="1" customFormat="false" ht="18.55" hidden="false" customHeight="false" outlineLevel="0" collapsed="false">
      <c r="A1" s="1" t="s">
        <v>453</v>
      </c>
      <c r="B1" s="1"/>
      <c r="C1" s="1"/>
      <c r="D1" s="1"/>
      <c r="E1" s="1"/>
      <c r="F1" s="1"/>
    </row>
    <row r="2" customFormat="false" ht="22.35" hidden="false" customHeight="true" outlineLevel="0" collapsed="false">
      <c r="A2" s="4" t="s">
        <v>454</v>
      </c>
      <c r="B2" s="4"/>
      <c r="C2" s="4"/>
      <c r="D2" s="4"/>
      <c r="E2" s="4"/>
      <c r="F2" s="4"/>
    </row>
    <row r="3" customFormat="false" ht="15" hidden="false" customHeight="true" outlineLevel="0" collapsed="false">
      <c r="A3" s="2" t="s">
        <v>455</v>
      </c>
      <c r="B3" s="2"/>
      <c r="D3" s="2" t="s">
        <v>456</v>
      </c>
      <c r="E3" s="2"/>
    </row>
    <row r="4" customFormat="false" ht="15" hidden="false" customHeight="false" outlineLevel="0" collapsed="false">
      <c r="A4" s="5" t="s">
        <v>457</v>
      </c>
      <c r="B4" s="5" t="s">
        <v>428</v>
      </c>
      <c r="D4" s="26" t="s">
        <v>163</v>
      </c>
      <c r="E4" s="26" t="s">
        <v>428</v>
      </c>
    </row>
    <row r="5" customFormat="false" ht="15" hidden="false" customHeight="false" outlineLevel="0" collapsed="false">
      <c r="A5" s="3" t="s">
        <v>458</v>
      </c>
      <c r="B5" s="24" t="n">
        <f aca="false">COUNTIFS('03_Extraction'!$C$4:$C$25,"&lt;=2010")</f>
        <v>3</v>
      </c>
      <c r="D5" s="3" t="s">
        <v>103</v>
      </c>
      <c r="E5" s="24" t="n">
        <f aca="false">COUNTIF('03_Extraction'!$E$4:$E$25,"Journal")</f>
        <v>13</v>
      </c>
    </row>
    <row r="6" customFormat="false" ht="15" hidden="false" customHeight="false" outlineLevel="0" collapsed="false">
      <c r="A6" s="3" t="s">
        <v>459</v>
      </c>
      <c r="B6" s="24" t="n">
        <f aca="false">COUNTIFS('03_Extraction'!$C$4:$C$25,"&gt;=2011",'03_Extraction'!$C$4:$C$25,"&lt;=2015")</f>
        <v>2</v>
      </c>
      <c r="D6" s="3" t="s">
        <v>131</v>
      </c>
      <c r="E6" s="24" t="n">
        <f aca="false">COUNTIF('03_Extraction'!$E$4:$E$25,"Report")</f>
        <v>5</v>
      </c>
    </row>
    <row r="7" customFormat="false" ht="15" hidden="false" customHeight="false" outlineLevel="0" collapsed="false">
      <c r="A7" s="3" t="s">
        <v>460</v>
      </c>
      <c r="B7" s="24" t="n">
        <f aca="false">COUNTIFS('03_Extraction'!$C$4:$C$25,"&gt;=2016",'03_Extraction'!$C$4:$C$25,"&lt;=2018")</f>
        <v>7</v>
      </c>
      <c r="D7" s="3" t="s">
        <v>124</v>
      </c>
      <c r="E7" s="24" t="n">
        <f aca="false">COUNTIF('03_Extraction'!$E$4:$E$25,"Dataset")</f>
        <v>2</v>
      </c>
    </row>
    <row r="8" customFormat="false" ht="15" hidden="false" customHeight="false" outlineLevel="0" collapsed="false">
      <c r="A8" s="3" t="s">
        <v>461</v>
      </c>
      <c r="B8" s="24" t="n">
        <f aca="false">COUNTIFS('03_Extraction'!$C$4:$C$25,"&gt;=2019",'03_Extraction'!$C$4:$C$25,"&lt;=2021")</f>
        <v>4</v>
      </c>
      <c r="D8" s="3" t="s">
        <v>118</v>
      </c>
      <c r="E8" s="24" t="n">
        <f aca="false">COUNTIF('03_Extraction'!$E$4:$E$25,"Standard")</f>
        <v>1</v>
      </c>
    </row>
    <row r="9" customFormat="false" ht="15" hidden="false" customHeight="false" outlineLevel="0" collapsed="false">
      <c r="A9" s="3" t="s">
        <v>462</v>
      </c>
      <c r="B9" s="24" t="n">
        <f aca="false">COUNTIFS('03_Extraction'!$C$4:$C$25,"&gt;=2022",'03_Extraction'!$C$4:$C$25,"&lt;=2023")</f>
        <v>6</v>
      </c>
      <c r="D9" s="3" t="s">
        <v>112</v>
      </c>
      <c r="E9" s="24" t="n">
        <f aca="false">COUNTIF('03_Extraction'!$E$4:$E$25,"Book")</f>
        <v>1</v>
      </c>
    </row>
    <row r="10" customFormat="false" ht="15" hidden="false" customHeight="false" outlineLevel="0" collapsed="false">
      <c r="A10" s="7" t="s">
        <v>424</v>
      </c>
      <c r="B10" s="21" t="n">
        <f aca="false">SUM(B5:B9)</f>
        <v>22</v>
      </c>
      <c r="D10" s="7" t="s">
        <v>424</v>
      </c>
      <c r="E10" s="21" t="n">
        <f aca="false">SUM(E5:E9)</f>
        <v>22</v>
      </c>
    </row>
    <row r="12" customFormat="false" ht="15" hidden="false" customHeight="true" outlineLevel="0" collapsed="false">
      <c r="A12" s="2" t="s">
        <v>463</v>
      </c>
      <c r="B12" s="2"/>
    </row>
    <row r="13" customFormat="false" ht="15" hidden="false" customHeight="false" outlineLevel="0" collapsed="false">
      <c r="A13" s="26" t="s">
        <v>162</v>
      </c>
      <c r="B13" s="26" t="s">
        <v>428</v>
      </c>
    </row>
    <row r="14" customFormat="false" ht="15" hidden="false" customHeight="false" outlineLevel="0" collapsed="false">
      <c r="A14" s="3" t="s">
        <v>170</v>
      </c>
      <c r="B14" s="24" t="n">
        <f aca="false">COUNTIF('03_Extraction'!$D$4:$D$25,"Global")</f>
        <v>17</v>
      </c>
    </row>
    <row r="15" customFormat="false" ht="15" hidden="false" customHeight="false" outlineLevel="0" collapsed="false">
      <c r="A15" s="3" t="s">
        <v>242</v>
      </c>
      <c r="B15" s="24" t="n">
        <f aca="false">COUNTIF('03_Extraction'!$D$4:$D$25,"National")</f>
        <v>3</v>
      </c>
    </row>
    <row r="16" customFormat="false" ht="15" hidden="false" customHeight="false" outlineLevel="0" collapsed="false">
      <c r="A16" s="3" t="s">
        <v>257</v>
      </c>
      <c r="B16" s="24" t="n">
        <f aca="false">COUNTIF('03_Extraction'!$D$4:$D$25,"State")</f>
        <v>1</v>
      </c>
    </row>
    <row r="17" customFormat="false" ht="15" hidden="false" customHeight="false" outlineLevel="0" collapsed="false">
      <c r="A17" s="3" t="s">
        <v>262</v>
      </c>
      <c r="B17" s="24" t="n">
        <f aca="false">COUNTIF('03_Extraction'!$D$4:$D$25,"Local")</f>
        <v>1</v>
      </c>
    </row>
    <row r="18" customFormat="false" ht="15" hidden="false" customHeight="false" outlineLevel="0" collapsed="false">
      <c r="A18" s="7" t="s">
        <v>424</v>
      </c>
      <c r="B18" s="21" t="n">
        <f aca="false">SUM(B14:B17)</f>
        <v>22</v>
      </c>
    </row>
    <row r="20" customFormat="false" ht="32.8" hidden="false" customHeight="true" outlineLevel="0" collapsed="false">
      <c r="A20" s="4" t="s">
        <v>464</v>
      </c>
      <c r="B20" s="4"/>
      <c r="C20" s="4"/>
      <c r="D20" s="4"/>
      <c r="E20" s="4"/>
      <c r="F20" s="4"/>
    </row>
  </sheetData>
  <mergeCells count="6">
    <mergeCell ref="A1:F1"/>
    <mergeCell ref="A2:F2"/>
    <mergeCell ref="A3:B3"/>
    <mergeCell ref="D3:E3"/>
    <mergeCell ref="A12:B12"/>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3" min="3" style="0" width="26"/>
    <col collapsed="false" customWidth="true" hidden="false" outlineLevel="0" max="4" min="4" style="0" width="12"/>
  </cols>
  <sheetData>
    <row r="1" customFormat="false" ht="18.55" hidden="false" customHeight="false" outlineLevel="0" collapsed="false">
      <c r="A1" s="1" t="s">
        <v>465</v>
      </c>
      <c r="B1" s="1"/>
      <c r="C1" s="1"/>
      <c r="D1" s="1"/>
    </row>
    <row r="2" customFormat="false" ht="22.35" hidden="false" customHeight="true" outlineLevel="0" collapsed="false">
      <c r="A2" s="4" t="s">
        <v>466</v>
      </c>
      <c r="B2" s="4"/>
      <c r="C2" s="4"/>
      <c r="D2" s="4"/>
    </row>
    <row r="3" customFormat="false" ht="15" hidden="false" customHeight="false" outlineLevel="0" collapsed="false">
      <c r="A3" s="25" t="s">
        <v>467</v>
      </c>
      <c r="C3" s="25" t="s">
        <v>468</v>
      </c>
      <c r="D3" s="25" t="s">
        <v>469</v>
      </c>
    </row>
    <row r="4" customFormat="false" ht="15" hidden="false" customHeight="false" outlineLevel="0" collapsed="false">
      <c r="A4" s="13" t="s">
        <v>470</v>
      </c>
      <c r="C4" s="3" t="s">
        <v>471</v>
      </c>
      <c r="D4" s="15" t="n">
        <f aca="false">COUNTIF($A$4:$A$25,"*supply chain*")</f>
        <v>15</v>
      </c>
    </row>
    <row r="5" customFormat="false" ht="15" hidden="false" customHeight="false" outlineLevel="0" collapsed="false">
      <c r="A5" s="13" t="s">
        <v>472</v>
      </c>
      <c r="C5" s="3" t="s">
        <v>473</v>
      </c>
      <c r="D5" s="15" t="n">
        <f aca="false">COUNTIF($A$4:$A$25,"*big data*")</f>
        <v>5</v>
      </c>
    </row>
    <row r="6" customFormat="false" ht="15" hidden="false" customHeight="false" outlineLevel="0" collapsed="false">
      <c r="A6" s="13" t="s">
        <v>474</v>
      </c>
      <c r="C6" s="3" t="s">
        <v>475</v>
      </c>
      <c r="D6" s="15" t="n">
        <f aca="false">COUNTIF($A$4:$A$25,"*analytics*")</f>
        <v>4</v>
      </c>
    </row>
    <row r="7" customFormat="false" ht="15" hidden="false" customHeight="false" outlineLevel="0" collapsed="false">
      <c r="A7" s="13" t="s">
        <v>476</v>
      </c>
      <c r="C7" s="3" t="s">
        <v>477</v>
      </c>
      <c r="D7" s="15" t="n">
        <f aca="false">COUNTIF($A$4:$A$25,"*visibility*")</f>
        <v>3</v>
      </c>
    </row>
    <row r="8" customFormat="false" ht="15" hidden="false" customHeight="false" outlineLevel="0" collapsed="false">
      <c r="A8" s="13" t="s">
        <v>478</v>
      </c>
      <c r="C8" s="3" t="s">
        <v>479</v>
      </c>
      <c r="D8" s="15" t="n">
        <f aca="false">COUNTIF($A$4:$A$25,"*logistics*")</f>
        <v>5</v>
      </c>
    </row>
    <row r="9" customFormat="false" ht="15" hidden="false" customHeight="false" outlineLevel="0" collapsed="false">
      <c r="A9" s="13" t="s">
        <v>480</v>
      </c>
      <c r="C9" s="3" t="s">
        <v>481</v>
      </c>
      <c r="D9" s="15" t="n">
        <f aca="false">COUNTIF($A$4:$A$25,"*performance*")</f>
        <v>4</v>
      </c>
    </row>
    <row r="10" customFormat="false" ht="15" hidden="false" customHeight="false" outlineLevel="0" collapsed="false">
      <c r="A10" s="13" t="s">
        <v>482</v>
      </c>
      <c r="C10" s="3" t="s">
        <v>483</v>
      </c>
      <c r="D10" s="15" t="n">
        <f aca="false">COUNTIF($A$4:$A$25,"*digital*")</f>
        <v>2</v>
      </c>
    </row>
    <row r="11" customFormat="false" ht="15" hidden="false" customHeight="false" outlineLevel="0" collapsed="false">
      <c r="A11" s="13" t="s">
        <v>484</v>
      </c>
      <c r="C11" s="3" t="s">
        <v>485</v>
      </c>
      <c r="D11" s="15" t="n">
        <f aca="false">COUNTIF($A$4:$A$25,"*resilience*")</f>
        <v>2</v>
      </c>
    </row>
    <row r="12" customFormat="false" ht="15" hidden="false" customHeight="false" outlineLevel="0" collapsed="false">
      <c r="A12" s="13" t="s">
        <v>486</v>
      </c>
      <c r="C12" s="3" t="s">
        <v>487</v>
      </c>
      <c r="D12" s="15" t="n">
        <f aca="false">COUNTIF($A$4:$A$25,"*forecasting*")</f>
        <v>1</v>
      </c>
    </row>
    <row r="13" customFormat="false" ht="15" hidden="false" customHeight="false" outlineLevel="0" collapsed="false">
      <c r="A13" s="13" t="s">
        <v>488</v>
      </c>
      <c r="C13" s="3" t="s">
        <v>489</v>
      </c>
      <c r="D13" s="15" t="n">
        <f aca="false">COUNTIF($A$4:$A$25,"*delivery*")</f>
        <v>2</v>
      </c>
    </row>
    <row r="14" customFormat="false" ht="15" hidden="false" customHeight="false" outlineLevel="0" collapsed="false">
      <c r="A14" s="13" t="s">
        <v>490</v>
      </c>
      <c r="C14" s="3" t="s">
        <v>491</v>
      </c>
      <c r="D14" s="15" t="n">
        <f aca="false">COUNTIF($A$4:$A$25,"*disruption*")</f>
        <v>2</v>
      </c>
    </row>
    <row r="15" customFormat="false" ht="15" hidden="false" customHeight="false" outlineLevel="0" collapsed="false">
      <c r="A15" s="13" t="s">
        <v>492</v>
      </c>
      <c r="C15" s="3" t="s">
        <v>493</v>
      </c>
      <c r="D15" s="15" t="n">
        <f aca="false">COUNTIF($A$4:$A$25,"*dashboard*")</f>
        <v>1</v>
      </c>
    </row>
    <row r="16" customFormat="false" ht="15" hidden="false" customHeight="false" outlineLevel="0" collapsed="false">
      <c r="A16" s="13" t="s">
        <v>494</v>
      </c>
      <c r="C16" s="3" t="s">
        <v>495</v>
      </c>
      <c r="D16" s="15" t="n">
        <f aca="false">COUNTIF($A$4:$A$25,"*index*")</f>
        <v>2</v>
      </c>
    </row>
    <row r="17" customFormat="false" ht="15" hidden="false" customHeight="false" outlineLevel="0" collapsed="false">
      <c r="A17" s="13" t="s">
        <v>496</v>
      </c>
    </row>
    <row r="18" customFormat="false" ht="22.35" hidden="false" customHeight="true" outlineLevel="0" collapsed="false">
      <c r="A18" s="27" t="s">
        <v>497</v>
      </c>
      <c r="B18" s="27"/>
      <c r="C18" s="27"/>
      <c r="D18" s="27"/>
    </row>
    <row r="19" customFormat="false" ht="15" hidden="false" customHeight="false" outlineLevel="0" collapsed="false">
      <c r="A19" s="13" t="s">
        <v>498</v>
      </c>
    </row>
    <row r="20" customFormat="false" ht="15" hidden="false" customHeight="false" outlineLevel="0" collapsed="false">
      <c r="A20" s="13" t="s">
        <v>499</v>
      </c>
    </row>
    <row r="21" customFormat="false" ht="15" hidden="false" customHeight="false" outlineLevel="0" collapsed="false">
      <c r="A21" s="13" t="s">
        <v>500</v>
      </c>
    </row>
    <row r="22" customFormat="false" ht="15" hidden="false" customHeight="false" outlineLevel="0" collapsed="false">
      <c r="A22" s="13" t="s">
        <v>501</v>
      </c>
    </row>
    <row r="23" customFormat="false" ht="15" hidden="false" customHeight="false" outlineLevel="0" collapsed="false">
      <c r="A23" s="13" t="s">
        <v>502</v>
      </c>
    </row>
    <row r="24" customFormat="false" ht="15" hidden="false" customHeight="false" outlineLevel="0" collapsed="false">
      <c r="A24" s="13" t="s">
        <v>503</v>
      </c>
    </row>
    <row r="25" customFormat="false" ht="15" hidden="false" customHeight="false" outlineLevel="0" collapsed="false">
      <c r="A25" s="13" t="s">
        <v>504</v>
      </c>
    </row>
  </sheetData>
  <mergeCells count="3">
    <mergeCell ref="A1:D1"/>
    <mergeCell ref="A2:D2"/>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16"/>
    <col collapsed="false" customWidth="true" hidden="false" outlineLevel="0" max="4" min="4" style="0" width="46"/>
    <col collapsed="false" customWidth="true" hidden="false" outlineLevel="0" max="5" min="5" style="0" width="16"/>
    <col collapsed="false" customWidth="true" hidden="false" outlineLevel="0" max="6" min="6" style="0" width="10"/>
  </cols>
  <sheetData>
    <row r="1" customFormat="false" ht="18.55" hidden="false" customHeight="false" outlineLevel="0" collapsed="false">
      <c r="A1" s="1" t="s">
        <v>505</v>
      </c>
      <c r="B1" s="1"/>
      <c r="C1" s="1"/>
      <c r="D1" s="1"/>
    </row>
    <row r="2" customFormat="false" ht="22.35" hidden="false" customHeight="true" outlineLevel="0" collapsed="false">
      <c r="A2" s="4" t="s">
        <v>506</v>
      </c>
      <c r="B2" s="4"/>
      <c r="C2" s="4"/>
      <c r="D2" s="4"/>
    </row>
    <row r="3" customFormat="false" ht="15" hidden="false" customHeight="true" outlineLevel="0" collapsed="false">
      <c r="A3" s="2" t="s">
        <v>507</v>
      </c>
      <c r="B3" s="2"/>
      <c r="C3" s="2"/>
      <c r="E3" s="2" t="s">
        <v>508</v>
      </c>
      <c r="F3" s="2"/>
    </row>
    <row r="4" customFormat="false" ht="15" hidden="false" customHeight="false" outlineLevel="0" collapsed="false">
      <c r="A4" s="5" t="s">
        <v>509</v>
      </c>
      <c r="B4" s="5" t="s">
        <v>357</v>
      </c>
      <c r="C4" s="5" t="s">
        <v>510</v>
      </c>
      <c r="E4" s="26" t="s">
        <v>511</v>
      </c>
      <c r="F4" s="26" t="s">
        <v>360</v>
      </c>
    </row>
    <row r="5" customFormat="false" ht="15" hidden="false" customHeight="false" outlineLevel="0" collapsed="false">
      <c r="A5" s="20" t="s">
        <v>512</v>
      </c>
      <c r="B5" s="20" t="s">
        <v>368</v>
      </c>
      <c r="C5" s="28" t="n">
        <v>75</v>
      </c>
      <c r="E5" s="20" t="s">
        <v>368</v>
      </c>
      <c r="F5" s="28" t="n">
        <v>299</v>
      </c>
    </row>
    <row r="6" customFormat="false" ht="15" hidden="false" customHeight="false" outlineLevel="0" collapsed="false">
      <c r="A6" s="20" t="s">
        <v>513</v>
      </c>
      <c r="B6" s="20" t="s">
        <v>375</v>
      </c>
      <c r="C6" s="28" t="n">
        <v>320</v>
      </c>
      <c r="E6" s="20" t="s">
        <v>375</v>
      </c>
      <c r="F6" s="28" t="n">
        <v>760</v>
      </c>
    </row>
    <row r="7" customFormat="false" ht="15" hidden="false" customHeight="false" outlineLevel="0" collapsed="false">
      <c r="A7" s="20" t="s">
        <v>514</v>
      </c>
      <c r="B7" s="20" t="s">
        <v>382</v>
      </c>
      <c r="C7" s="28" t="n">
        <v>40</v>
      </c>
      <c r="E7" s="20" t="s">
        <v>382</v>
      </c>
      <c r="F7" s="28" t="n">
        <v>120</v>
      </c>
    </row>
    <row r="8" customFormat="false" ht="15" hidden="false" customHeight="false" outlineLevel="0" collapsed="false">
      <c r="A8" s="20" t="s">
        <v>515</v>
      </c>
      <c r="B8" s="20" t="s">
        <v>387</v>
      </c>
      <c r="C8" s="28" t="n">
        <v>1500</v>
      </c>
      <c r="E8" s="20" t="s">
        <v>375</v>
      </c>
      <c r="F8" s="28" t="n">
        <v>980</v>
      </c>
    </row>
    <row r="9" customFormat="false" ht="15" hidden="false" customHeight="false" outlineLevel="0" collapsed="false">
      <c r="A9" s="20" t="s">
        <v>516</v>
      </c>
      <c r="B9" s="20" t="s">
        <v>517</v>
      </c>
      <c r="C9" s="28" t="n">
        <v>60</v>
      </c>
      <c r="E9" s="20" t="s">
        <v>368</v>
      </c>
      <c r="F9" s="28" t="n">
        <v>210</v>
      </c>
    </row>
    <row r="12" customFormat="false" ht="15" hidden="false" customHeight="true" outlineLevel="0" collapsed="false">
      <c r="A12" s="2" t="s">
        <v>518</v>
      </c>
      <c r="B12" s="2"/>
      <c r="C12" s="2"/>
      <c r="D12" s="2"/>
    </row>
    <row r="13" customFormat="false" ht="15" hidden="false" customHeight="false" outlineLevel="0" collapsed="false">
      <c r="A13" s="5" t="s">
        <v>519</v>
      </c>
      <c r="B13" s="5" t="s">
        <v>520</v>
      </c>
      <c r="C13" s="5" t="s">
        <v>521</v>
      </c>
      <c r="D13" s="5" t="s">
        <v>522</v>
      </c>
    </row>
    <row r="14" customFormat="false" ht="26.85" hidden="false" customHeight="false" outlineLevel="0" collapsed="false">
      <c r="A14" s="7" t="s">
        <v>523</v>
      </c>
      <c r="B14" s="6" t="s">
        <v>524</v>
      </c>
      <c r="C14" s="3" t="str">
        <f aca="false">IF(F5&gt;500,"High","Low")</f>
        <v>Low</v>
      </c>
      <c r="D14" s="3" t="s">
        <v>525</v>
      </c>
    </row>
    <row r="15" customFormat="false" ht="15" hidden="false" customHeight="false" outlineLevel="0" collapsed="false">
      <c r="A15" s="7" t="s">
        <v>526</v>
      </c>
      <c r="B15" s="6" t="s">
        <v>527</v>
      </c>
      <c r="C15" s="3" t="n">
        <f aca="false">COUNTIF(E5:E9,"Electronics")</f>
        <v>2</v>
      </c>
      <c r="D15" s="3" t="s">
        <v>528</v>
      </c>
    </row>
    <row r="16" customFormat="false" ht="26.85" hidden="false" customHeight="false" outlineLevel="0" collapsed="false">
      <c r="A16" s="7" t="s">
        <v>529</v>
      </c>
      <c r="B16" s="6" t="s">
        <v>530</v>
      </c>
      <c r="C16" s="3" t="n">
        <f aca="false">COUNTIFS(E5:E9,"Cleats",F5:F9,"&gt;200")</f>
        <v>2</v>
      </c>
      <c r="D16" s="3" t="s">
        <v>531</v>
      </c>
    </row>
    <row r="17" customFormat="false" ht="15" hidden="false" customHeight="false" outlineLevel="0" collapsed="false">
      <c r="A17" s="7" t="s">
        <v>532</v>
      </c>
      <c r="B17" s="6" t="s">
        <v>533</v>
      </c>
      <c r="C17" s="3" t="n">
        <f aca="false">SUMIF(E5:E9,"Electronics",F5:F9)</f>
        <v>1740</v>
      </c>
      <c r="D17" s="3" t="s">
        <v>534</v>
      </c>
    </row>
    <row r="18" customFormat="false" ht="15" hidden="false" customHeight="false" outlineLevel="0" collapsed="false">
      <c r="A18" s="7" t="s">
        <v>535</v>
      </c>
      <c r="B18" s="6" t="s">
        <v>536</v>
      </c>
      <c r="C18" s="3" t="n">
        <f aca="false">SUMIFS(F5:F9,E5:E9,"Cleats")</f>
        <v>509</v>
      </c>
      <c r="D18" s="3" t="s">
        <v>537</v>
      </c>
    </row>
    <row r="19" customFormat="false" ht="26.85" hidden="false" customHeight="false" outlineLevel="0" collapsed="false">
      <c r="A19" s="7" t="s">
        <v>538</v>
      </c>
      <c r="B19" s="6" t="s">
        <v>539</v>
      </c>
      <c r="C19" s="3" t="str">
        <f aca="false">INDEX(B5:B9,MATCH("P03",A5:A9,0))</f>
        <v>Apparel</v>
      </c>
      <c r="D19" s="3" t="s">
        <v>540</v>
      </c>
    </row>
    <row r="20" customFormat="false" ht="39.55" hidden="false" customHeight="false" outlineLevel="0" collapsed="false">
      <c r="A20" s="7" t="s">
        <v>541</v>
      </c>
      <c r="B20" s="6" t="s">
        <v>542</v>
      </c>
      <c r="C20" s="3" t="str">
        <f aca="false">A5&amp;" | "&amp;B5&amp;" | "&amp;C5</f>
        <v>P01 | Cleats | 75</v>
      </c>
      <c r="D20" s="3" t="s">
        <v>543</v>
      </c>
    </row>
    <row r="21" customFormat="false" ht="26.85" hidden="false" customHeight="false" outlineLevel="0" collapsed="false">
      <c r="A21" s="7" t="s">
        <v>544</v>
      </c>
      <c r="B21" s="6" t="s">
        <v>545</v>
      </c>
      <c r="C21" s="3" t="str">
        <f aca="false">INDEX(B5:B9,MATCH("P03",A5:A9,0))</f>
        <v>Apparel</v>
      </c>
      <c r="D21" s="3" t="s">
        <v>546</v>
      </c>
    </row>
    <row r="22" customFormat="false" ht="26.85" hidden="false" customHeight="false" outlineLevel="0" collapsed="false">
      <c r="A22" s="7" t="s">
        <v>547</v>
      </c>
      <c r="B22" s="6" t="s">
        <v>548</v>
      </c>
      <c r="C22" s="3" t="n">
        <f aca="false">SUMPRODUCT(1/COUNTIF(E5:E9,E5:E9))</f>
        <v>3</v>
      </c>
      <c r="D22" s="3" t="s">
        <v>549</v>
      </c>
    </row>
    <row r="23" customFormat="false" ht="26.85" hidden="false" customHeight="false" outlineLevel="0" collapsed="false">
      <c r="A23" s="7" t="s">
        <v>550</v>
      </c>
      <c r="B23" s="6" t="s">
        <v>551</v>
      </c>
      <c r="C23" s="3" t="n">
        <f aca="false">COUNTIF(F5:F9,"&gt;500")</f>
        <v>2</v>
      </c>
      <c r="D23" s="3" t="s">
        <v>552</v>
      </c>
    </row>
    <row r="24" customFormat="false" ht="26.85" hidden="false" customHeight="false" outlineLevel="0" collapsed="false">
      <c r="A24" s="7" t="s">
        <v>553</v>
      </c>
      <c r="B24" s="6" t="s">
        <v>554</v>
      </c>
      <c r="C24" s="3" t="str">
        <f aca="false">IF((F5-F6)&gt;0,"up","down")</f>
        <v>down</v>
      </c>
      <c r="D24" s="3" t="s">
        <v>555</v>
      </c>
    </row>
    <row r="25" customFormat="false" ht="26.85" hidden="false" customHeight="false" outlineLevel="0" collapsed="false">
      <c r="A25" s="7" t="s">
        <v>556</v>
      </c>
      <c r="B25" s="6" t="s">
        <v>557</v>
      </c>
      <c r="C25" s="3" t="n">
        <f aca="false">SUMIF(E5:E9,"Electronics",F5:F9)</f>
        <v>1740</v>
      </c>
      <c r="D25" s="3" t="s">
        <v>558</v>
      </c>
    </row>
  </sheetData>
  <mergeCells count="5">
    <mergeCell ref="A1:D1"/>
    <mergeCell ref="A2:D2"/>
    <mergeCell ref="A3:C3"/>
    <mergeCell ref="E3:F3"/>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62"/>
    <col collapsed="false" customWidth="true" hidden="false" outlineLevel="0" max="4" min="3" style="0" width="10"/>
    <col collapsed="false" customWidth="true" hidden="false" outlineLevel="0" max="5" min="5" style="0" width="9"/>
    <col collapsed="false" customWidth="true" hidden="false" outlineLevel="0" max="6" min="6" style="0" width="24"/>
  </cols>
  <sheetData>
    <row r="1" customFormat="false" ht="18.55" hidden="false" customHeight="false" outlineLevel="0" collapsed="false">
      <c r="A1" s="1" t="s">
        <v>559</v>
      </c>
      <c r="B1" s="1"/>
      <c r="C1" s="1"/>
      <c r="D1" s="1"/>
      <c r="E1" s="1"/>
      <c r="F1" s="1"/>
    </row>
    <row r="2" customFormat="false" ht="15" hidden="false" customHeight="true" outlineLevel="0" collapsed="false">
      <c r="A2" s="4" t="s">
        <v>560</v>
      </c>
      <c r="B2" s="4"/>
      <c r="C2" s="4"/>
      <c r="D2" s="4"/>
      <c r="E2" s="4"/>
      <c r="F2" s="4"/>
    </row>
    <row r="3" customFormat="false" ht="15" hidden="false" customHeight="false" outlineLevel="0" collapsed="false">
      <c r="A3" s="5" t="s">
        <v>160</v>
      </c>
      <c r="B3" s="5" t="s">
        <v>561</v>
      </c>
      <c r="C3" s="5" t="s">
        <v>163</v>
      </c>
      <c r="D3" s="5" t="s">
        <v>162</v>
      </c>
      <c r="E3" s="5" t="s">
        <v>167</v>
      </c>
      <c r="F3" s="5" t="s">
        <v>168</v>
      </c>
    </row>
    <row r="4" customFormat="false" ht="39.55" hidden="false" customHeight="false" outlineLevel="0" collapsed="false">
      <c r="A4" s="6" t="s">
        <v>169</v>
      </c>
      <c r="B4" s="3" t="s">
        <v>562</v>
      </c>
      <c r="C4" s="8" t="s">
        <v>103</v>
      </c>
      <c r="D4" s="8" t="s">
        <v>170</v>
      </c>
      <c r="E4" s="8" t="s">
        <v>29</v>
      </c>
      <c r="F4" s="6" t="s">
        <v>174</v>
      </c>
    </row>
    <row r="5" customFormat="false" ht="39.55" hidden="false" customHeight="false" outlineLevel="0" collapsed="false">
      <c r="A5" s="6" t="s">
        <v>175</v>
      </c>
      <c r="B5" s="3" t="s">
        <v>563</v>
      </c>
      <c r="C5" s="8" t="s">
        <v>103</v>
      </c>
      <c r="D5" s="8" t="s">
        <v>170</v>
      </c>
      <c r="E5" s="8" t="s">
        <v>29</v>
      </c>
      <c r="F5" s="6" t="s">
        <v>179</v>
      </c>
    </row>
    <row r="6" customFormat="false" ht="39.55" hidden="false" customHeight="false" outlineLevel="0" collapsed="false">
      <c r="A6" s="6" t="s">
        <v>180</v>
      </c>
      <c r="B6" s="3" t="s">
        <v>564</v>
      </c>
      <c r="C6" s="8" t="s">
        <v>103</v>
      </c>
      <c r="D6" s="8" t="s">
        <v>170</v>
      </c>
      <c r="E6" s="8" t="s">
        <v>29</v>
      </c>
      <c r="F6" s="6" t="s">
        <v>184</v>
      </c>
    </row>
    <row r="7" customFormat="false" ht="39.55" hidden="false" customHeight="false" outlineLevel="0" collapsed="false">
      <c r="A7" s="6" t="s">
        <v>185</v>
      </c>
      <c r="B7" s="3" t="s">
        <v>565</v>
      </c>
      <c r="C7" s="8" t="s">
        <v>103</v>
      </c>
      <c r="D7" s="8" t="s">
        <v>170</v>
      </c>
      <c r="E7" s="8" t="s">
        <v>29</v>
      </c>
      <c r="F7" s="6" t="s">
        <v>189</v>
      </c>
    </row>
    <row r="8" customFormat="false" ht="26.85" hidden="false" customHeight="false" outlineLevel="0" collapsed="false">
      <c r="A8" s="6" t="s">
        <v>190</v>
      </c>
      <c r="B8" s="3" t="s">
        <v>566</v>
      </c>
      <c r="C8" s="8" t="s">
        <v>112</v>
      </c>
      <c r="D8" s="8" t="s">
        <v>170</v>
      </c>
      <c r="E8" s="8" t="s">
        <v>29</v>
      </c>
      <c r="F8" s="6" t="s">
        <v>194</v>
      </c>
    </row>
    <row r="9" customFormat="false" ht="26.85" hidden="false" customHeight="false" outlineLevel="0" collapsed="false">
      <c r="A9" s="6" t="s">
        <v>195</v>
      </c>
      <c r="B9" s="3" t="s">
        <v>567</v>
      </c>
      <c r="C9" s="8" t="s">
        <v>103</v>
      </c>
      <c r="D9" s="8" t="s">
        <v>170</v>
      </c>
      <c r="E9" s="8" t="s">
        <v>29</v>
      </c>
      <c r="F9" s="6" t="s">
        <v>199</v>
      </c>
    </row>
    <row r="10" customFormat="false" ht="39.55" hidden="false" customHeight="false" outlineLevel="0" collapsed="false">
      <c r="A10" s="6" t="s">
        <v>200</v>
      </c>
      <c r="B10" s="3" t="s">
        <v>568</v>
      </c>
      <c r="C10" s="8" t="s">
        <v>103</v>
      </c>
      <c r="D10" s="8" t="s">
        <v>170</v>
      </c>
      <c r="E10" s="8" t="s">
        <v>29</v>
      </c>
      <c r="F10" s="6" t="s">
        <v>204</v>
      </c>
    </row>
    <row r="11" customFormat="false" ht="26.85" hidden="false" customHeight="false" outlineLevel="0" collapsed="false">
      <c r="A11" s="6" t="s">
        <v>205</v>
      </c>
      <c r="B11" s="3" t="s">
        <v>569</v>
      </c>
      <c r="C11" s="8" t="s">
        <v>118</v>
      </c>
      <c r="D11" s="8" t="s">
        <v>170</v>
      </c>
      <c r="E11" s="8" t="s">
        <v>29</v>
      </c>
      <c r="F11" s="6" t="s">
        <v>210</v>
      </c>
    </row>
    <row r="12" customFormat="false" ht="39.55" hidden="false" customHeight="false" outlineLevel="0" collapsed="false">
      <c r="A12" s="6" t="s">
        <v>211</v>
      </c>
      <c r="B12" s="3" t="s">
        <v>570</v>
      </c>
      <c r="C12" s="8" t="s">
        <v>103</v>
      </c>
      <c r="D12" s="8" t="s">
        <v>170</v>
      </c>
      <c r="E12" s="8" t="s">
        <v>29</v>
      </c>
      <c r="F12" s="6" t="s">
        <v>215</v>
      </c>
    </row>
    <row r="13" customFormat="false" ht="39.55" hidden="false" customHeight="false" outlineLevel="0" collapsed="false">
      <c r="A13" s="6" t="s">
        <v>216</v>
      </c>
      <c r="B13" s="3" t="s">
        <v>571</v>
      </c>
      <c r="C13" s="8" t="s">
        <v>103</v>
      </c>
      <c r="D13" s="8" t="s">
        <v>170</v>
      </c>
      <c r="E13" s="8" t="s">
        <v>29</v>
      </c>
      <c r="F13" s="6" t="s">
        <v>219</v>
      </c>
    </row>
    <row r="14" customFormat="false" ht="39.55" hidden="false" customHeight="false" outlineLevel="0" collapsed="false">
      <c r="A14" s="6" t="s">
        <v>220</v>
      </c>
      <c r="B14" s="3" t="s">
        <v>572</v>
      </c>
      <c r="C14" s="8" t="s">
        <v>103</v>
      </c>
      <c r="D14" s="8" t="s">
        <v>170</v>
      </c>
      <c r="E14" s="8" t="s">
        <v>29</v>
      </c>
      <c r="F14" s="6" t="s">
        <v>223</v>
      </c>
    </row>
    <row r="15" customFormat="false" ht="26.85" hidden="false" customHeight="false" outlineLevel="0" collapsed="false">
      <c r="A15" s="6" t="s">
        <v>224</v>
      </c>
      <c r="B15" s="3" t="s">
        <v>573</v>
      </c>
      <c r="C15" s="8" t="s">
        <v>124</v>
      </c>
      <c r="D15" s="8" t="s">
        <v>170</v>
      </c>
      <c r="E15" s="8" t="s">
        <v>29</v>
      </c>
      <c r="F15" s="6" t="s">
        <v>229</v>
      </c>
    </row>
    <row r="16" customFormat="false" ht="26.85" hidden="false" customHeight="false" outlineLevel="0" collapsed="false">
      <c r="A16" s="6" t="s">
        <v>230</v>
      </c>
      <c r="B16" s="3" t="s">
        <v>574</v>
      </c>
      <c r="C16" s="8" t="s">
        <v>124</v>
      </c>
      <c r="D16" s="8" t="s">
        <v>170</v>
      </c>
      <c r="E16" s="8" t="s">
        <v>29</v>
      </c>
      <c r="F16" s="6" t="s">
        <v>234</v>
      </c>
    </row>
    <row r="17" customFormat="false" ht="39.55" hidden="false" customHeight="false" outlineLevel="0" collapsed="false">
      <c r="A17" s="6" t="s">
        <v>235</v>
      </c>
      <c r="B17" s="3" t="s">
        <v>575</v>
      </c>
      <c r="C17" s="8" t="s">
        <v>103</v>
      </c>
      <c r="D17" s="8" t="s">
        <v>170</v>
      </c>
      <c r="E17" s="8" t="s">
        <v>29</v>
      </c>
      <c r="F17" s="6" t="s">
        <v>239</v>
      </c>
    </row>
    <row r="18" customFormat="false" ht="26.85" hidden="false" customHeight="false" outlineLevel="0" collapsed="false">
      <c r="A18" s="6" t="s">
        <v>240</v>
      </c>
      <c r="B18" s="3" t="s">
        <v>576</v>
      </c>
      <c r="C18" s="8" t="s">
        <v>131</v>
      </c>
      <c r="D18" s="8" t="s">
        <v>242</v>
      </c>
      <c r="E18" s="8" t="s">
        <v>29</v>
      </c>
      <c r="F18" s="6" t="s">
        <v>246</v>
      </c>
    </row>
    <row r="19" customFormat="false" ht="39.55" hidden="false" customHeight="false" outlineLevel="0" collapsed="false">
      <c r="A19" s="6" t="s">
        <v>247</v>
      </c>
      <c r="B19" s="3" t="s">
        <v>577</v>
      </c>
      <c r="C19" s="8" t="s">
        <v>103</v>
      </c>
      <c r="D19" s="8" t="s">
        <v>170</v>
      </c>
      <c r="E19" s="8" t="s">
        <v>29</v>
      </c>
      <c r="F19" s="6" t="s">
        <v>250</v>
      </c>
    </row>
    <row r="20" customFormat="false" ht="26.85" hidden="false" customHeight="false" outlineLevel="0" collapsed="false">
      <c r="A20" s="6" t="s">
        <v>251</v>
      </c>
      <c r="B20" s="3" t="s">
        <v>578</v>
      </c>
      <c r="C20" s="8" t="s">
        <v>131</v>
      </c>
      <c r="D20" s="8" t="s">
        <v>242</v>
      </c>
      <c r="E20" s="8" t="s">
        <v>29</v>
      </c>
      <c r="F20" s="6" t="s">
        <v>246</v>
      </c>
    </row>
    <row r="21" customFormat="false" ht="26.85" hidden="false" customHeight="false" outlineLevel="0" collapsed="false">
      <c r="A21" s="6" t="s">
        <v>68</v>
      </c>
      <c r="B21" s="3" t="s">
        <v>579</v>
      </c>
      <c r="C21" s="8" t="s">
        <v>103</v>
      </c>
      <c r="D21" s="8" t="s">
        <v>170</v>
      </c>
      <c r="E21" s="8" t="s">
        <v>29</v>
      </c>
      <c r="F21" s="6" t="s">
        <v>256</v>
      </c>
    </row>
    <row r="22" customFormat="false" ht="39.55" hidden="false" customHeight="false" outlineLevel="0" collapsed="false">
      <c r="A22" s="6" t="s">
        <v>136</v>
      </c>
      <c r="B22" s="3" t="s">
        <v>580</v>
      </c>
      <c r="C22" s="8" t="s">
        <v>131</v>
      </c>
      <c r="D22" s="8" t="s">
        <v>257</v>
      </c>
      <c r="E22" s="8" t="s">
        <v>29</v>
      </c>
      <c r="F22" s="6" t="s">
        <v>246</v>
      </c>
    </row>
    <row r="23" customFormat="false" ht="39.55" hidden="false" customHeight="false" outlineLevel="0" collapsed="false">
      <c r="A23" s="6" t="s">
        <v>261</v>
      </c>
      <c r="B23" s="3" t="s">
        <v>581</v>
      </c>
      <c r="C23" s="8" t="s">
        <v>103</v>
      </c>
      <c r="D23" s="8" t="s">
        <v>262</v>
      </c>
      <c r="E23" s="8" t="s">
        <v>29</v>
      </c>
      <c r="F23" s="6" t="s">
        <v>266</v>
      </c>
    </row>
    <row r="24" customFormat="false" ht="26.85" hidden="false" customHeight="false" outlineLevel="0" collapsed="false">
      <c r="A24" s="6" t="s">
        <v>267</v>
      </c>
      <c r="B24" s="3" t="s">
        <v>582</v>
      </c>
      <c r="C24" s="8" t="s">
        <v>131</v>
      </c>
      <c r="D24" s="8" t="s">
        <v>242</v>
      </c>
      <c r="E24" s="8" t="s">
        <v>29</v>
      </c>
      <c r="F24" s="6" t="s">
        <v>272</v>
      </c>
    </row>
    <row r="25" customFormat="false" ht="26.85" hidden="false" customHeight="false" outlineLevel="0" collapsed="false">
      <c r="A25" s="6" t="s">
        <v>273</v>
      </c>
      <c r="B25" s="3" t="s">
        <v>583</v>
      </c>
      <c r="C25" s="8" t="s">
        <v>131</v>
      </c>
      <c r="D25" s="8" t="s">
        <v>170</v>
      </c>
      <c r="E25" s="8" t="s">
        <v>29</v>
      </c>
      <c r="F25" s="6" t="s">
        <v>278</v>
      </c>
    </row>
    <row r="27" customFormat="false" ht="26.85" hidden="false" customHeight="false" outlineLevel="0" collapsed="false">
      <c r="A27" s="7" t="s">
        <v>584</v>
      </c>
      <c r="C27" s="21" t="n">
        <f aca="false">COUNTA(A4:A25)</f>
        <v>22</v>
      </c>
    </row>
    <row r="28" customFormat="false" ht="15" hidden="false" customHeight="false" outlineLevel="0" collapsed="false">
      <c r="A28" s="7" t="s">
        <v>167</v>
      </c>
      <c r="C28" s="21" t="n">
        <f aca="false">COUNTIF(E4:E25,"Y")</f>
        <v>22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12"/>
  </cols>
  <sheetData>
    <row r="1" customFormat="false" ht="18.55" hidden="false" customHeight="false" outlineLevel="0" collapsed="false">
      <c r="A1" s="1" t="s">
        <v>585</v>
      </c>
      <c r="B1" s="1"/>
      <c r="C1" s="1"/>
      <c r="D1" s="1"/>
    </row>
    <row r="2" customFormat="false" ht="15" hidden="false" customHeight="true" outlineLevel="0" collapsed="false">
      <c r="A2" s="4" t="s">
        <v>586</v>
      </c>
      <c r="B2" s="4"/>
      <c r="C2" s="4"/>
      <c r="D2" s="4"/>
    </row>
    <row r="4" customFormat="false" ht="15" hidden="false" customHeight="false" outlineLevel="0" collapsed="false">
      <c r="A4" s="2" t="s">
        <v>587</v>
      </c>
      <c r="B4" s="3" t="s">
        <v>588</v>
      </c>
    </row>
    <row r="5" customFormat="false" ht="26.85" hidden="false" customHeight="false" outlineLevel="0" collapsed="false">
      <c r="A5" s="2" t="s">
        <v>589</v>
      </c>
      <c r="B5" s="3" t="s">
        <v>590</v>
      </c>
    </row>
    <row r="6" customFormat="false" ht="26.85" hidden="false" customHeight="false" outlineLevel="0" collapsed="false">
      <c r="A6" s="2" t="s">
        <v>591</v>
      </c>
      <c r="B6" s="3" t="s">
        <v>592</v>
      </c>
    </row>
    <row r="8" customFormat="false" ht="15" hidden="false" customHeight="true" outlineLevel="0" collapsed="false">
      <c r="A8" s="25" t="s">
        <v>593</v>
      </c>
      <c r="B8" s="25"/>
      <c r="C8" s="25" t="s">
        <v>365</v>
      </c>
    </row>
    <row r="9" customFormat="false" ht="15" hidden="false" customHeight="true" outlineLevel="0" collapsed="false">
      <c r="A9" s="3" t="s">
        <v>392</v>
      </c>
      <c r="B9" s="3"/>
      <c r="C9" s="29" t="n">
        <f aca="false">'05_Analysis'!M8</f>
        <v>0.409090909090909</v>
      </c>
    </row>
    <row r="10" customFormat="false" ht="15" hidden="false" customHeight="true" outlineLevel="0" collapsed="false">
      <c r="A10" s="3" t="s">
        <v>397</v>
      </c>
      <c r="B10" s="3"/>
      <c r="C10" s="29" t="n">
        <f aca="false">'05_Analysis'!M10</f>
        <v>0.545454545454545</v>
      </c>
    </row>
    <row r="11" customFormat="false" ht="15" hidden="false" customHeight="true" outlineLevel="0" collapsed="false">
      <c r="A11" s="3" t="s">
        <v>399</v>
      </c>
      <c r="B11" s="3"/>
      <c r="C11" s="30" t="n">
        <f aca="false">'05_Analysis'!M11</f>
        <v>0.909090909090909</v>
      </c>
    </row>
    <row r="12" customFormat="false" ht="15" hidden="false" customHeight="true" outlineLevel="0" collapsed="false">
      <c r="A12" s="3" t="s">
        <v>405</v>
      </c>
      <c r="B12" s="3"/>
      <c r="C12" s="29" t="n">
        <f aca="false">'05_Analysis'!M14</f>
        <v>0.928571428571429</v>
      </c>
    </row>
    <row r="13" customFormat="false" ht="15" hidden="false" customHeight="true" outlineLevel="0" collapsed="false">
      <c r="A13" s="3" t="s">
        <v>401</v>
      </c>
      <c r="B13" s="3"/>
      <c r="C13" s="31" t="n">
        <f aca="false">'05_Analysis'!M12</f>
        <v>6504</v>
      </c>
    </row>
    <row r="15" customFormat="false" ht="15" hidden="false" customHeight="true" outlineLevel="0" collapsed="false">
      <c r="A15" s="25" t="s">
        <v>594</v>
      </c>
      <c r="B15" s="25"/>
      <c r="C15" s="25" t="s">
        <v>428</v>
      </c>
    </row>
    <row r="16" customFormat="false" ht="15" hidden="false" customHeight="true" outlineLevel="0" collapsed="false">
      <c r="A16" s="3" t="s">
        <v>584</v>
      </c>
      <c r="B16" s="3"/>
      <c r="C16" s="24" t="n">
        <f aca="false">COUNTA('10_References'!A4:A25)</f>
        <v>22</v>
      </c>
    </row>
    <row r="17" customFormat="false" ht="15" hidden="false" customHeight="true" outlineLevel="0" collapsed="false">
      <c r="A17" s="3" t="s">
        <v>595</v>
      </c>
      <c r="B17" s="3"/>
      <c r="C17" s="24" t="n">
        <f aca="false">COUNTIF('10_References'!E4:E25,"Y")</f>
        <v>22</v>
      </c>
    </row>
    <row r="18" customFormat="false" ht="15" hidden="false" customHeight="true" outlineLevel="0" collapsed="false">
      <c r="A18" s="3" t="s">
        <v>596</v>
      </c>
      <c r="B18" s="3"/>
      <c r="C18" s="24" t="n">
        <f aca="false">'06_PRISMA'!B11</f>
        <v>22</v>
      </c>
    </row>
    <row r="20" customFormat="false" ht="15" hidden="false" customHeight="true" outlineLevel="0" collapsed="false">
      <c r="A20" s="2" t="s">
        <v>597</v>
      </c>
      <c r="B20" s="2"/>
      <c r="C20" s="2"/>
    </row>
    <row r="21" customFormat="false" ht="15" hidden="false" customHeight="true" outlineLevel="0" collapsed="false">
      <c r="A21" s="3" t="s">
        <v>598</v>
      </c>
      <c r="B21" s="3"/>
      <c r="C21" s="8" t="s">
        <v>296</v>
      </c>
    </row>
    <row r="22" customFormat="false" ht="15" hidden="false" customHeight="true" outlineLevel="0" collapsed="false">
      <c r="A22" s="3" t="s">
        <v>599</v>
      </c>
      <c r="B22" s="3"/>
      <c r="C22" s="8" t="s">
        <v>296</v>
      </c>
    </row>
    <row r="23" customFormat="false" ht="15" hidden="false" customHeight="true" outlineLevel="0" collapsed="false">
      <c r="A23" s="3" t="s">
        <v>600</v>
      </c>
      <c r="B23" s="3"/>
      <c r="C23" s="8" t="s">
        <v>296</v>
      </c>
    </row>
    <row r="24" customFormat="false" ht="15" hidden="false" customHeight="true" outlineLevel="0" collapsed="false">
      <c r="A24" s="3" t="s">
        <v>601</v>
      </c>
      <c r="B24" s="3"/>
      <c r="C24" s="8" t="s">
        <v>296</v>
      </c>
    </row>
    <row r="25" customFormat="false" ht="15" hidden="false" customHeight="true" outlineLevel="0" collapsed="false">
      <c r="A25" s="3" t="s">
        <v>602</v>
      </c>
      <c r="B25" s="3"/>
      <c r="C25" s="8" t="s">
        <v>296</v>
      </c>
    </row>
    <row r="26" customFormat="false" ht="15" hidden="false" customHeight="true" outlineLevel="0" collapsed="false">
      <c r="A26" s="3" t="s">
        <v>603</v>
      </c>
      <c r="B26" s="3"/>
      <c r="C26" s="8" t="s">
        <v>296</v>
      </c>
    </row>
    <row r="27" customFormat="false" ht="15" hidden="false" customHeight="true" outlineLevel="0" collapsed="false">
      <c r="A27" s="3" t="s">
        <v>604</v>
      </c>
      <c r="B27" s="3"/>
      <c r="C27" s="8" t="s">
        <v>296</v>
      </c>
    </row>
    <row r="28" customFormat="false" ht="15" hidden="false" customHeight="true" outlineLevel="0" collapsed="false">
      <c r="A28" s="3" t="s">
        <v>605</v>
      </c>
      <c r="B28" s="3"/>
      <c r="C28" s="8" t="s">
        <v>296</v>
      </c>
    </row>
  </sheetData>
  <mergeCells count="21">
    <mergeCell ref="A1:D1"/>
    <mergeCell ref="A2:D2"/>
    <mergeCell ref="A8:B8"/>
    <mergeCell ref="A9:B9"/>
    <mergeCell ref="A10:B10"/>
    <mergeCell ref="A11:B11"/>
    <mergeCell ref="A12:B12"/>
    <mergeCell ref="A13:B13"/>
    <mergeCell ref="A15:B15"/>
    <mergeCell ref="A16:B16"/>
    <mergeCell ref="A17:B17"/>
    <mergeCell ref="A18:B18"/>
    <mergeCell ref="A20:C20"/>
    <mergeCell ref="A21:B21"/>
    <mergeCell ref="A22:B22"/>
    <mergeCell ref="A23:B23"/>
    <mergeCell ref="A24:B24"/>
    <mergeCell ref="A25:B25"/>
    <mergeCell ref="A26:B26"/>
    <mergeCell ref="A27:B27"/>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2026-05-29T22:40:58Z</dcterms:created>
  <dc:creator>openpyxl</dc:creator>
  <dc:description/>
  <dc:language>en-US</dc:language>
  <cp:lastModifiedBy/>
  <dcterms:modified xsi:type="dcterms:W3CDTF">2026-05-29T22:40:58Z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